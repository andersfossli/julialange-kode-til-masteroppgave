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3325f57cbbe622/SKOLEARBEID/Master/MasterOPPGAVE/julialange kode til masteroppgave/_input/"/>
    </mc:Choice>
  </mc:AlternateContent>
  <xr:revisionPtr revIDLastSave="506" documentId="8_{7696E0A4-7455-4CF4-88F8-3006FA44D15C}" xr6:coauthVersionLast="47" xr6:coauthVersionMax="47" xr10:uidLastSave="{DCD9C644-6491-4C96-BB11-809F97DC3382}"/>
  <bookViews>
    <workbookView xWindow="-110" yWindow="-110" windowWidth="21820" windowHeight="13900" xr2:uid="{7180C01F-BAB0-43C4-8B6A-D12813804A36}"/>
  </bookViews>
  <sheets>
    <sheet name="Datasheet" sheetId="1" r:id="rId1"/>
    <sheet name="Calculations" sheetId="2" r:id="rId2"/>
    <sheet name="monte carlo ru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F32" i="1"/>
  <c r="F31" i="1"/>
  <c r="F30" i="1"/>
  <c r="F29" i="1"/>
  <c r="F28" i="1"/>
  <c r="F27" i="1"/>
  <c r="F23" i="1"/>
  <c r="F24" i="1"/>
  <c r="F25" i="1"/>
  <c r="F26" i="1"/>
  <c r="F15" i="1"/>
  <c r="M154" i="1"/>
  <c r="M155" i="1"/>
  <c r="M156" i="1"/>
  <c r="M157" i="1"/>
  <c r="M158" i="1"/>
  <c r="M159" i="1"/>
  <c r="M160" i="1"/>
  <c r="M161" i="1"/>
  <c r="M162" i="1"/>
  <c r="M163" i="1"/>
  <c r="M153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42" i="1"/>
  <c r="F4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C3" i="3"/>
  <c r="B3" i="3"/>
  <c r="J13" i="1"/>
  <c r="J1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</calcChain>
</file>

<file path=xl/sharedStrings.xml><?xml version="1.0" encoding="utf-8"?>
<sst xmlns="http://schemas.openxmlformats.org/spreadsheetml/2006/main" count="569" uniqueCount="224">
  <si>
    <t>specifications</t>
  </si>
  <si>
    <t>Data</t>
  </si>
  <si>
    <t>Intervaller:</t>
  </si>
  <si>
    <t>forklaring: vi ser på hva intervallene feks de faktiske kostnadene blir, I prosent over / under det manufakturer lover, feks det blir lovet 1 milliard euro investeringskostnad men koster 1,2 eller bygget på 7 men brukte 9 år</t>
  </si>
  <si>
    <t>Country</t>
  </si>
  <si>
    <t>Reactor</t>
  </si>
  <si>
    <t>Type</t>
  </si>
  <si>
    <t>Capacity factor (%)</t>
  </si>
  <si>
    <t>WACC (real %)</t>
  </si>
  <si>
    <t>Source</t>
  </si>
  <si>
    <t>BWRX-300</t>
  </si>
  <si>
    <t>BWR</t>
  </si>
  <si>
    <t>USA/JAPAN</t>
  </si>
  <si>
    <t>PWR</t>
  </si>
  <si>
    <t>UK-SMR</t>
  </si>
  <si>
    <t>SMR-160</t>
  </si>
  <si>
    <t>SMART</t>
  </si>
  <si>
    <t>NuScale</t>
  </si>
  <si>
    <t>KLT-40S</t>
  </si>
  <si>
    <t>CAREM</t>
  </si>
  <si>
    <t>EM2</t>
  </si>
  <si>
    <t>HTR-PM</t>
  </si>
  <si>
    <t>PBMR-400</t>
  </si>
  <si>
    <t>ARC-100</t>
  </si>
  <si>
    <t>CEFR</t>
  </si>
  <si>
    <t>4S</t>
  </si>
  <si>
    <t>IMSR (300)</t>
  </si>
  <si>
    <t>SSR-W</t>
  </si>
  <si>
    <t>e-Vinci</t>
  </si>
  <si>
    <t>Brest-OD-300</t>
  </si>
  <si>
    <t>store kraftverk</t>
  </si>
  <si>
    <t>Project</t>
  </si>
  <si>
    <t>RITM-200M</t>
  </si>
  <si>
    <t>ACPR-50S</t>
  </si>
  <si>
    <t>HTR/GFR</t>
  </si>
  <si>
    <t>HTR</t>
  </si>
  <si>
    <t>HTGR</t>
  </si>
  <si>
    <t>SFR</t>
  </si>
  <si>
    <t>MSR</t>
  </si>
  <si>
    <t>MSFR</t>
  </si>
  <si>
    <t>MR</t>
  </si>
  <si>
    <t>Investment cost [USD2020/MWe]</t>
  </si>
  <si>
    <t>hentet fra uncertainties</t>
  </si>
  <si>
    <t>LFR</t>
  </si>
  <si>
    <t>Capacity (MWe)</t>
  </si>
  <si>
    <t>USA</t>
  </si>
  <si>
    <t>Clinton-1</t>
  </si>
  <si>
    <t>Hope-Creek</t>
  </si>
  <si>
    <t>Riverbend-1</t>
  </si>
  <si>
    <t>FIN</t>
  </si>
  <si>
    <t>Olkiluoto-3</t>
  </si>
  <si>
    <t>EPR (PWR)</t>
  </si>
  <si>
    <t>FRZ</t>
  </si>
  <si>
    <t>Flamanville-3</t>
  </si>
  <si>
    <t>UK</t>
  </si>
  <si>
    <t>Hinkley Point C-1</t>
  </si>
  <si>
    <t>EPR-1750</t>
  </si>
  <si>
    <t>Hinkley Point C-2</t>
  </si>
  <si>
    <t>Vogtle-3</t>
  </si>
  <si>
    <t>AP1000</t>
  </si>
  <si>
    <t>Vogtle-4</t>
  </si>
  <si>
    <t>KOR</t>
  </si>
  <si>
    <t>Shin Kori 3</t>
  </si>
  <si>
    <t>APR1400</t>
  </si>
  <si>
    <t>Shin Kori 4</t>
  </si>
  <si>
    <t>CHI</t>
  </si>
  <si>
    <t>Sanmen-1</t>
  </si>
  <si>
    <t>Sanmen-2</t>
  </si>
  <si>
    <t>Taishan-1</t>
  </si>
  <si>
    <t>Taishan-2</t>
  </si>
  <si>
    <t>RUS</t>
  </si>
  <si>
    <t>Novovoronezh II-1</t>
  </si>
  <si>
    <t>VVER1200 (PWR)</t>
  </si>
  <si>
    <t>Novovoronezh II-2</t>
  </si>
  <si>
    <t>Fort St. Vrain</t>
  </si>
  <si>
    <t>Peach Bottom-1</t>
  </si>
  <si>
    <t>Beloyarsk-3</t>
  </si>
  <si>
    <t>BN-800 (SFR)</t>
  </si>
  <si>
    <t>Superphénix</t>
  </si>
  <si>
    <t>source for investment cost</t>
  </si>
  <si>
    <t>Uncertainties in estimating production costs of future nuclear technologies: A model-based analysis of small modular reactors - ScienceDirect</t>
  </si>
  <si>
    <t>source til capacity</t>
  </si>
  <si>
    <t>ikke hentet</t>
  </si>
  <si>
    <t>Gross Capacity (MWe)</t>
  </si>
  <si>
    <t>Net Capacity (Mwe)</t>
  </si>
  <si>
    <t>CHINA</t>
  </si>
  <si>
    <t>KOR/SAUDI</t>
  </si>
  <si>
    <t>ARGENTINA</t>
  </si>
  <si>
    <t>JAPAN</t>
  </si>
  <si>
    <t>SOUTH AFR</t>
  </si>
  <si>
    <t>canada</t>
  </si>
  <si>
    <t>Canada</t>
  </si>
  <si>
    <t>Russia</t>
  </si>
  <si>
    <t>China</t>
  </si>
  <si>
    <t>source</t>
  </si>
  <si>
    <t>ias smr module 2024 / 2022</t>
  </si>
  <si>
    <t>ias smr module booklet 2024 / 2022 og uncertainties</t>
  </si>
  <si>
    <t>Investment cost [USD2020/kW]</t>
  </si>
  <si>
    <t xml:space="preserve">bytte ut new industrial building construction factor med norsk byggeindeks (ppi), er dette robust? </t>
  </si>
  <si>
    <t>FOAK/NOAK*</t>
  </si>
  <si>
    <t>Capacity (net MWe)</t>
  </si>
  <si>
    <t>Lifetime (y)</t>
  </si>
  <si>
    <t>Decom (% of CAPEX)</t>
  </si>
  <si>
    <t>Year</t>
  </si>
  <si>
    <t>—</t>
  </si>
  <si>
    <t>Weibezahn 2023</t>
  </si>
  <si>
    <t>UK-SMR (RR)</t>
  </si>
  <si>
    <t>Parameter</t>
  </si>
  <si>
    <t>range</t>
  </si>
  <si>
    <t>distribution</t>
  </si>
  <si>
    <t>Number of simulation runs N</t>
  </si>
  <si>
    <t>Weighted average cost of capital (WACC)</t>
  </si>
  <si>
    <t>Capacity Factor</t>
  </si>
  <si>
    <t>Construction delay  / overrun time</t>
  </si>
  <si>
    <t>[0.04 , 0.15]</t>
  </si>
  <si>
    <t>uniform?</t>
  </si>
  <si>
    <t>triangular?</t>
  </si>
  <si>
    <t>xx</t>
  </si>
  <si>
    <t>-</t>
  </si>
  <si>
    <t>WACC vil være scenariobasert, logisk med lavere wacc dersom det er smr og større wacc for større kraftverk</t>
  </si>
  <si>
    <t>ser for oss problemer I oppstart (som okolutilo 3) men at det stabiliserer seg rundt 90% men de lover 95%, usa flåten er på 92%, må justere rangen og begrunne valg av triangulær</t>
  </si>
  <si>
    <t>[3 , 5 , 8]</t>
  </si>
  <si>
    <t xml:space="preserve">[0.75 , 0.9, 0.95 </t>
  </si>
  <si>
    <t>average electricity price?</t>
  </si>
  <si>
    <t>Investment cost adjusted [USD2025/MWe] (occ)</t>
  </si>
  <si>
    <t>FOAK</t>
  </si>
  <si>
    <t>Weibezahn / EIA</t>
  </si>
  <si>
    <t>Hope Creek</t>
  </si>
  <si>
    <t>Weibezahn</t>
  </si>
  <si>
    <t>NOAK</t>
  </si>
  <si>
    <t>Actual / total build time (y)</t>
  </si>
  <si>
    <t>planned Construction time (y)</t>
  </si>
  <si>
    <t>Shin Kori-4|Saeul-2</t>
  </si>
  <si>
    <t>Shin Kori-3|Saeul-1</t>
  </si>
  <si>
    <t>https://pris.iaea.org/pris/CountryStatistics/ReactorDetails.aspx?current=879&amp;utm_source=chatgpt.com</t>
  </si>
  <si>
    <t>https://www.researchgate.net/publication/267580777_Construction_of_Westinghouse_AP1000_Nuclear_Power_Plants_in_China</t>
  </si>
  <si>
    <t xml:space="preserve">n </t>
  </si>
  <si>
    <t>WACC</t>
  </si>
  <si>
    <t>Capacity factor</t>
  </si>
  <si>
    <t>Delay</t>
  </si>
  <si>
    <t>Superphenix</t>
  </si>
  <si>
    <t>foak</t>
  </si>
  <si>
    <t>noak</t>
  </si>
  <si>
    <t>Capacity (gross)</t>
  </si>
  <si>
    <t>occ</t>
  </si>
  <si>
    <t>Olkiluoto-3-wealer</t>
  </si>
  <si>
    <t>Olkiluoto-3-oecd</t>
  </si>
  <si>
    <t>Flamanville-3-wealer</t>
  </si>
  <si>
    <t>Flamanville-3-oecd</t>
  </si>
  <si>
    <t>Vogtle-3-wealer</t>
  </si>
  <si>
    <t>Vogtle-4-wealer</t>
  </si>
  <si>
    <t>Vogtle-3-oecd</t>
  </si>
  <si>
    <t>Vogtle-4-oecd</t>
  </si>
  <si>
    <t>Fort St. Vrain-doe/eia</t>
  </si>
  <si>
    <t>Scale</t>
  </si>
  <si>
    <t>South Korea</t>
  </si>
  <si>
    <t>Argentina</t>
  </si>
  <si>
    <t>Usa</t>
  </si>
  <si>
    <t>Japan</t>
  </si>
  <si>
    <t>Finland</t>
  </si>
  <si>
    <t>France</t>
  </si>
  <si>
    <t>leningrad II 1</t>
  </si>
  <si>
    <t>leningrad II 2</t>
  </si>
  <si>
    <t>Shin Hanul 1</t>
  </si>
  <si>
    <t>Shin hanul 2</t>
  </si>
  <si>
    <t>Beloyarsk-4</t>
  </si>
  <si>
    <t>Category</t>
  </si>
  <si>
    <t>Subcategory</t>
  </si>
  <si>
    <t>Count</t>
  </si>
  <si>
    <t>Share (%)</t>
  </si>
  <si>
    <t>Description</t>
  </si>
  <si>
    <t>By Scale</t>
  </si>
  <si>
    <t>Large reactors (&gt;300 MWe)</t>
  </si>
  <si>
    <t>Conventional Generation III/III+ units (EPR, APR, AP1000, etc.)</t>
  </si>
  <si>
    <t>Small Modular Reactors (SMRs, 50–300 MWe)</t>
  </si>
  <si>
    <t>Modular LWR, SFR, MSR, and HTR designs under development or deployment</t>
  </si>
  <si>
    <t>Microreactors (&lt;50 MWe)</t>
  </si>
  <si>
    <t>Experimental or conceptual small-scale designs for remote/off-grid use</t>
  </si>
  <si>
    <t>By Reactor Type</t>
  </si>
  <si>
    <t>Pressurized Water Reactor (PWR)</t>
  </si>
  <si>
    <t>Dominant reactor type in both SMR and large categories</t>
  </si>
  <si>
    <t>Sodium-cooled Fast Reactor (SFR)</t>
  </si>
  <si>
    <t>Includes BN, CEFR, and ARC designs</t>
  </si>
  <si>
    <t>High-Temperature Gas-cooled Reactor (HTR)</t>
  </si>
  <si>
    <t>Includes Fort St. Vrain, HTR-PM, and EM2</t>
  </si>
  <si>
    <t>Molten Salt Reactor (MSR)</t>
  </si>
  <si>
    <t>Includes IMSR (300) and SSR-W concepts</t>
  </si>
  <si>
    <t>Lead-cooled Fast Reactor (LFR)</t>
  </si>
  <si>
    <t>BREST-OD-300 (Russia)</t>
  </si>
  <si>
    <t>Microreactor (MR)</t>
  </si>
  <si>
    <t>e-Vinci microreactor concept (Westinghouse)</t>
  </si>
  <si>
    <t>By Geographic Region</t>
  </si>
  <si>
    <t>Western (USA, UK, France, Finland, Canada, Argentina)</t>
  </si>
  <si>
    <t>OECD-based projects emphasizing vendor-led modularization</t>
  </si>
  <si>
    <t>Asian (China, South Korea, Russia, Japan)</t>
  </si>
  <si>
    <t>State-driven programs focusing on standardized reactor fleets</t>
  </si>
  <si>
    <t>South Africa</t>
  </si>
  <si>
    <t>Weibezahn 2024</t>
  </si>
  <si>
    <t>Weibezahn 2025</t>
  </si>
  <si>
    <t>Weibezahn 2026</t>
  </si>
  <si>
    <t>Weibezahn 2027</t>
  </si>
  <si>
    <t>Weibezahn 2028</t>
  </si>
  <si>
    <t>Weibezahn 2029</t>
  </si>
  <si>
    <t>Weibezahn 2030</t>
  </si>
  <si>
    <t>Weibezahn 2031</t>
  </si>
  <si>
    <t>Weibezahn 2032</t>
  </si>
  <si>
    <t>Weibezahn 2033</t>
  </si>
  <si>
    <t>Large PWR (REF)</t>
  </si>
  <si>
    <t>large SFR (REF)</t>
  </si>
  <si>
    <t>large HTR (REF)</t>
  </si>
  <si>
    <t>large BWR (REF)</t>
  </si>
  <si>
    <t>Large MSR (REF)</t>
  </si>
  <si>
    <t>MicroPWR (REF)</t>
  </si>
  <si>
    <t>Micro SFR (REF)</t>
  </si>
  <si>
    <t>Micro HTR (REF)</t>
  </si>
  <si>
    <t>Micro BWR (REF)</t>
  </si>
  <si>
    <t>MicroMSR (REF)</t>
  </si>
  <si>
    <t>OCC (eur2020/kW)</t>
  </si>
  <si>
    <t>inflation</t>
  </si>
  <si>
    <t>currency exchange</t>
  </si>
  <si>
    <t>Waste (eur2020/MWh)</t>
  </si>
  <si>
    <t>Fuel (eur2020/MWh)</t>
  </si>
  <si>
    <t>OPEX fixed (eur2020/MW-yr)</t>
  </si>
  <si>
    <t>OPEX variable (eur2025/MWh)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</si>
</sst>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£-809]* #,##0.00_-;\-[$£-809]* #,##0.00_-;_-[$£-809]* &quot;-&quot;??_-;_-@_-"/>
    <numFmt numFmtId="165" formatCode="_-* #,##0_-;\-* #,##0_-;_-* &quot;-&quot;??_-;_-@_-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8"/>
      <color rgb="FF003299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7" borderId="0" applyNumberFormat="0" applyBorder="0" applyAlignment="0" applyProtection="0"/>
  </cellStyleXfs>
  <cellXfs count="43">
    <xf numFmtId="0" fontId="0" fillId="0" borderId="0" xfId="0"/>
    <xf numFmtId="0" fontId="1" fillId="2" borderId="0" xfId="1"/>
    <xf numFmtId="0" fontId="2" fillId="3" borderId="0" xfId="2"/>
    <xf numFmtId="164" fontId="0" fillId="0" borderId="0" xfId="4" applyNumberFormat="1" applyFont="1"/>
    <xf numFmtId="165" fontId="1" fillId="2" borderId="0" xfId="3" applyNumberFormat="1" applyFont="1" applyFill="1"/>
    <xf numFmtId="165" fontId="0" fillId="0" borderId="0" xfId="0" applyNumberFormat="1"/>
    <xf numFmtId="0" fontId="4" fillId="0" borderId="0" xfId="5"/>
    <xf numFmtId="0" fontId="0" fillId="4" borderId="0" xfId="0" applyFill="1"/>
    <xf numFmtId="0" fontId="2" fillId="4" borderId="0" xfId="2" applyFill="1"/>
    <xf numFmtId="0" fontId="0" fillId="5" borderId="0" xfId="0" applyFill="1"/>
    <xf numFmtId="0" fontId="2" fillId="5" borderId="0" xfId="2" applyFill="1"/>
    <xf numFmtId="3" fontId="0" fillId="0" borderId="0" xfId="0" applyNumberFormat="1"/>
    <xf numFmtId="0" fontId="0" fillId="0" borderId="0" xfId="0" applyAlignment="1">
      <alignment vertical="center" wrapText="1"/>
    </xf>
    <xf numFmtId="166" fontId="0" fillId="0" borderId="0" xfId="0" applyNumberFormat="1"/>
    <xf numFmtId="3" fontId="0" fillId="6" borderId="0" xfId="0" applyNumberFormat="1" applyFill="1"/>
    <xf numFmtId="0" fontId="0" fillId="6" borderId="0" xfId="0" applyFill="1"/>
    <xf numFmtId="166" fontId="1" fillId="2" borderId="0" xfId="1" applyNumberFormat="1"/>
    <xf numFmtId="166" fontId="1" fillId="2" borderId="0" xfId="1" applyNumberFormat="1" applyAlignment="1">
      <alignment vertical="center" wrapText="1"/>
    </xf>
    <xf numFmtId="166" fontId="5" fillId="7" borderId="0" xfId="6" applyNumberForma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6" fontId="1" fillId="2" borderId="2" xfId="1" applyNumberFormat="1" applyBorder="1" applyAlignment="1">
      <alignment vertical="center" wrapText="1"/>
    </xf>
    <xf numFmtId="3" fontId="0" fillId="0" borderId="2" xfId="0" applyNumberFormat="1" applyBorder="1"/>
    <xf numFmtId="0" fontId="0" fillId="0" borderId="3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3" fontId="0" fillId="8" borderId="2" xfId="0" applyNumberFormat="1" applyFill="1" applyBorder="1"/>
    <xf numFmtId="0" fontId="0" fillId="8" borderId="3" xfId="0" applyFill="1" applyBorder="1" applyAlignment="1">
      <alignment vertical="center" wrapText="1"/>
    </xf>
    <xf numFmtId="166" fontId="5" fillId="7" borderId="2" xfId="6" applyNumberFormat="1" applyBorder="1" applyAlignment="1">
      <alignment vertical="center" wrapText="1"/>
    </xf>
    <xf numFmtId="166" fontId="1" fillId="2" borderId="2" xfId="1" applyNumberFormat="1" applyBorder="1"/>
    <xf numFmtId="3" fontId="0" fillId="6" borderId="2" xfId="0" applyNumberFormat="1" applyFill="1" applyBorder="1"/>
    <xf numFmtId="3" fontId="8" fillId="0" borderId="2" xfId="0" applyNumberFormat="1" applyFont="1" applyBorder="1"/>
    <xf numFmtId="0" fontId="0" fillId="6" borderId="2" xfId="0" applyFill="1" applyBorder="1"/>
    <xf numFmtId="0" fontId="9" fillId="0" borderId="0" xfId="0" applyFont="1"/>
  </cellXfs>
  <cellStyles count="7">
    <cellStyle name="Bad" xfId="2" builtinId="27"/>
    <cellStyle name="Comma" xfId="3" builtinId="3"/>
    <cellStyle name="Currency" xfId="4" builtinId="4"/>
    <cellStyle name="Good" xfId="1" builtinId="26"/>
    <cellStyle name="Hyperlink" xfId="5" builtinId="8"/>
    <cellStyle name="Neutral" xfId="6" builtinId="28"/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166" formatCode="0.0"/>
    </dxf>
    <dxf>
      <numFmt numFmtId="0" formatCode="General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1255880</xdr:colOff>
      <xdr:row>109</xdr:row>
      <xdr:rowOff>0</xdr:rowOff>
    </xdr:from>
    <xdr:to>
      <xdr:col>15</xdr:col>
      <xdr:colOff>713292</xdr:colOff>
      <xdr:row>138</xdr:row>
      <xdr:rowOff>3918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805C3-4844-E50D-9CCC-151611698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5439" y="14567647"/>
          <a:ext cx="8920780" cy="5420097"/>
        </a:xfrm>
        <a:prstGeom prst="rect">
          <a:avLst/>
        </a:prstGeom>
      </xdr:spPr>
    </xdr:pic>
    <xdr:clientData/>
  </xdr:twoCellAnchor>
  <xdr:twoCellAnchor editAs="oneCell">
    <xdr:from>
      <xdr:col>13</xdr:col>
      <xdr:colOff>531004</xdr:colOff>
      <xdr:row>72</xdr:row>
      <xdr:rowOff>1274</xdr:rowOff>
    </xdr:from>
    <xdr:to>
      <xdr:col>22</xdr:col>
      <xdr:colOff>74680</xdr:colOff>
      <xdr:row>121</xdr:row>
      <xdr:rowOff>22347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2C3CB-85B3-8F58-AE84-CFA38E42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22311" y="14072297"/>
          <a:ext cx="11137010" cy="9314994"/>
        </a:xfrm>
        <a:prstGeom prst="rect">
          <a:avLst/>
        </a:prstGeom>
      </xdr:spPr>
    </xdr:pic>
    <xdr:clientData/>
  </xdr:twoCellAnchor>
  <xdr:twoCellAnchor editAs="oneCell">
    <xdr:from>
      <xdr:col>8</xdr:col>
      <xdr:colOff>36541</xdr:colOff>
      <xdr:row>107</xdr:row>
      <xdr:rowOff>84044</xdr:rowOff>
    </xdr:from>
    <xdr:to>
      <xdr:col>9</xdr:col>
      <xdr:colOff>1448822</xdr:colOff>
      <xdr:row>126</xdr:row>
      <xdr:rowOff>7913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28F872-81A7-3406-1E91-8DB07D81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5659" y="14278162"/>
          <a:ext cx="3522722" cy="34723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091FB-B439-465C-9D43-FF31224A7D64}" name="Table2" displayName="Table2" ref="B3:U70" insertRowShift="1" totalsRowShown="0">
  <autoFilter ref="B3:U70" xr:uid="{5DC091FB-B439-465C-9D43-FF31224A7D64}"/>
  <tableColumns count="20">
    <tableColumn id="1" xr3:uid="{F92BB8DD-D241-4839-9FAF-66032DFBA1DF}" name="Country"/>
    <tableColumn id="2" xr3:uid="{BE5F5CB4-0A57-4202-B592-12545CA65EB2}" name="Project"/>
    <tableColumn id="3" xr3:uid="{60046BCD-9F9A-48AA-89B5-AE316615AA65}" name="Type"/>
    <tableColumn id="16" xr3:uid="{46D5B3A7-82B4-4B9A-BAC8-0B6CA580863A}" name="FOAK/NOAK*"/>
    <tableColumn id="20" xr3:uid="{B0E19595-FC54-4C41-8AD5-FC590E2E0867}" name="Scale" dataDxfId="12">
      <calculatedColumnFormula>IF(Table2[[#This Row],[Capacity (net MWe)]]&lt;=50,"Micro",IF(Table2[[#This Row],[Capacity (net MWe)]]&lt;=500,"SMR","Large"))</calculatedColumnFormula>
    </tableColumn>
    <tableColumn id="4" xr3:uid="{F673ACE9-17A3-418F-95E2-3D57C80635AE}" name="Capacity (gross)"/>
    <tableColumn id="5" xr3:uid="{EBD7A4AB-217C-4F30-9C8C-10D3DCBB1CF8}" name="Capacity (net MWe)"/>
    <tableColumn id="6" xr3:uid="{C68D4286-8002-4927-A37D-913C16FDDCDC}" name="OCC (eur2020/kW)"/>
    <tableColumn id="7" xr3:uid="{0DDB8280-26C2-414A-97C9-B5E58B05F984}" name="planned Construction time (y)" dataDxfId="11"/>
    <tableColumn id="19" xr3:uid="{030A9AEC-2CE4-495A-81CC-E66C49708DCD}" name="Actual / total build time (y)" dataDxfId="10"/>
    <tableColumn id="8" xr3:uid="{10CB5761-79C5-4883-879F-E339F0096B08}" name="Lifetime (y)"/>
    <tableColumn id="9" xr3:uid="{D368D5D8-E16F-4F9A-8EE2-94A2BB4AFD90}" name="Capacity factor (%)"/>
    <tableColumn id="10" xr3:uid="{6096C3E3-4466-42E9-B93D-DB781D029E1B}" name="WACC (real %)"/>
    <tableColumn id="11" xr3:uid="{AF94017F-19BA-4C85-989F-C4991FC8DB92}" name="OPEX fixed (eur2020/MW-yr)"/>
    <tableColumn id="12" xr3:uid="{9FBD497D-93AE-4DA6-BB28-62105E15001C}" name="OPEX variable (eur2025/MWh)"/>
    <tableColumn id="13" xr3:uid="{DF71A38F-C60A-4154-8DF3-56D7A37367E5}" name="Fuel (eur2020/MWh)"/>
    <tableColumn id="14" xr3:uid="{F25DEC50-AF34-45F1-BDFF-4448D82043E2}" name="Waste (eur2020/MWh)"/>
    <tableColumn id="15" xr3:uid="{9583958C-805F-498D-87D6-E8CACED18DF2}" name="Decom (% of CAPEX)"/>
    <tableColumn id="17" xr3:uid="{4DBF9AE1-2F7F-4D27-B474-D847FDC4CE29}" name="Source"/>
    <tableColumn id="18" xr3:uid="{AA291BFC-326D-4669-AD23-EE2A9A1178F1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1A206-B781-4635-A5B8-1A64CD1AB5AA}" name="Table1" displayName="Table1" ref="B74:H93" totalsRowShown="0" headerRowDxfId="9">
  <autoFilter ref="B74:H93" xr:uid="{66B1A206-B781-4635-A5B8-1A64CD1AB5AA}"/>
  <tableColumns count="7">
    <tableColumn id="1" xr3:uid="{C1725586-8E23-41DA-9DA0-5A6034105DE8}" name="Country"/>
    <tableColumn id="2" xr3:uid="{0BDDD1E8-3933-4B65-AC82-131AA91A4D50}" name="Project"/>
    <tableColumn id="3" xr3:uid="{3118C878-52F9-44DA-9A27-703337D1E664}" name="Type"/>
    <tableColumn id="4" xr3:uid="{35ED2164-548C-43CE-A4A8-B43380ACE736}" name="Gross Capacity (MWe)"/>
    <tableColumn id="5" xr3:uid="{06D3B4B1-2470-44FD-8FD5-865DD3C8AAD5}" name="Net Capacity (Mwe)"/>
    <tableColumn id="6" xr3:uid="{955673E6-8628-4844-80CA-AABAC6573A12}" name="Investment cost [USD2020/MWe]" dataDxfId="8" dataCellStyle="Comma"/>
    <tableColumn id="7" xr3:uid="{9C2F9C61-4F41-4636-B001-2259C0EFEF1D}" name="Investment cost adjusted [USD2025/MWe] (occ)" dataDxfId="7">
      <calculatedColumnFormula>(Table1[[#This Row],[Investment cost '[USD2020/MWe']]]*Table1[[#This Row],[Gross Capacity (MWe)]])/Table1[[#This Row],[Net Capacity (Mwe)]]*1.15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4B975-FC9A-439A-97D5-7E694650798C}" name="Table4" displayName="Table4" ref="J152:N163" totalsRowShown="0" headerRowDxfId="6" dataDxfId="5">
  <autoFilter ref="J152:N163" xr:uid="{8164B975-FC9A-439A-97D5-7E694650798C}"/>
  <tableColumns count="5">
    <tableColumn id="1" xr3:uid="{7FD37CAB-D325-41C8-8547-2D6E1FE331AC}" name="Category" dataDxfId="4"/>
    <tableColumn id="2" xr3:uid="{564CDED8-CE65-4596-AC3A-4CC44355AB8B}" name="Subcategory" dataDxfId="3"/>
    <tableColumn id="3" xr3:uid="{AC788AA3-8DFF-4AE6-9E50-6D860ABDE5C1}" name="Count" dataDxfId="2"/>
    <tableColumn id="4" xr3:uid="{166E4572-6834-491B-BAB2-932D8DA21314}" name="Share (%)" dataDxfId="1">
      <calculatedColumnFormula>L153/44</calculatedColumnFormula>
    </tableColumn>
    <tableColumn id="5" xr3:uid="{F00376DE-51F3-4906-9D14-2C9228385478}" name="Description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4ACF0-3158-43DE-8952-BEC2A35222D0}" name="Table3" displayName="Table3" ref="B5:D13" totalsRowShown="0">
  <autoFilter ref="B5:D13" xr:uid="{ED54ACF0-3158-43DE-8952-BEC2A35222D0}"/>
  <tableColumns count="3">
    <tableColumn id="1" xr3:uid="{63EE7E53-9F20-4292-8F28-5C816F39C632}" name="Parameter"/>
    <tableColumn id="2" xr3:uid="{439AD78B-94F5-4682-B60E-C11C4453809E}" name="range"/>
    <tableColumn id="3" xr3:uid="{41C76BE6-04FC-418A-B9D8-45390061A54F}" name="distrib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pris.iaea.org/pris/CountryStatistics/ReactorDetails.aspx?current=879&amp;utm_source=chatgpt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sciencedirect.com/science/article/pii/S0360544223015980" TargetMode="External"/><Relationship Id="rId1" Type="http://schemas.openxmlformats.org/officeDocument/2006/relationships/hyperlink" Target="https://www.sciencedirect.com/science/article/pii/S0360544223015980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esearchgate.net/publication/267580777_Construction_of_Westinghouse_AP1000_Nuclear_Power_Plants_in_China" TargetMode="Externa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DE10-412D-496D-8B2B-02AB797BE9C4}">
  <dimension ref="B1:W201"/>
  <sheetViews>
    <sheetView tabSelected="1" topLeftCell="H1" zoomScale="85" zoomScaleNormal="85" workbookViewId="0">
      <selection activeCell="B3" sqref="B3:U3"/>
    </sheetView>
  </sheetViews>
  <sheetFormatPr defaultColWidth="12.26953125" defaultRowHeight="14.5" x14ac:dyDescent="0.35"/>
  <cols>
    <col min="1" max="1" width="3.1796875" customWidth="1"/>
    <col min="2" max="2" width="12.1796875" bestFit="1" customWidth="1"/>
    <col min="3" max="3" width="18.54296875" customWidth="1"/>
    <col min="4" max="4" width="16.453125" customWidth="1"/>
    <col min="5" max="5" width="13" bestFit="1" customWidth="1"/>
    <col min="6" max="6" width="27.7265625" customWidth="1"/>
    <col min="7" max="7" width="21.7265625" customWidth="1"/>
    <col min="8" max="8" width="27.54296875" customWidth="1"/>
    <col min="9" max="9" width="30.26953125" customWidth="1"/>
    <col min="10" max="10" width="38" customWidth="1"/>
    <col min="11" max="11" width="19.1796875" bestFit="1" customWidth="1"/>
    <col min="12" max="12" width="15.1796875" bestFit="1" customWidth="1"/>
    <col min="13" max="13" width="20.453125" bestFit="1" customWidth="1"/>
    <col min="14" max="14" width="22.453125" bestFit="1" customWidth="1"/>
    <col min="15" max="15" width="20.26953125" customWidth="1"/>
    <col min="16" max="16" width="21.1796875" bestFit="1" customWidth="1"/>
    <col min="17" max="17" width="34.453125" bestFit="1" customWidth="1"/>
    <col min="18" max="18" width="14.26953125" bestFit="1" customWidth="1"/>
    <col min="19" max="19" width="16.54296875" bestFit="1" customWidth="1"/>
  </cols>
  <sheetData>
    <row r="1" spans="2:21" x14ac:dyDescent="0.35">
      <c r="B1" t="s">
        <v>1</v>
      </c>
    </row>
    <row r="2" spans="2:21" x14ac:dyDescent="0.35">
      <c r="B2" t="s">
        <v>0</v>
      </c>
    </row>
    <row r="3" spans="2:21" x14ac:dyDescent="0.35">
      <c r="B3" t="s">
        <v>4</v>
      </c>
      <c r="C3" t="s">
        <v>31</v>
      </c>
      <c r="D3" t="s">
        <v>6</v>
      </c>
      <c r="E3" t="s">
        <v>99</v>
      </c>
      <c r="F3" t="s">
        <v>154</v>
      </c>
      <c r="G3" t="s">
        <v>143</v>
      </c>
      <c r="H3" t="s">
        <v>100</v>
      </c>
      <c r="I3" t="s">
        <v>217</v>
      </c>
      <c r="J3" t="s">
        <v>131</v>
      </c>
      <c r="K3" t="s">
        <v>130</v>
      </c>
      <c r="L3" t="s">
        <v>101</v>
      </c>
      <c r="M3" t="s">
        <v>7</v>
      </c>
      <c r="N3" t="s">
        <v>8</v>
      </c>
      <c r="O3" t="s">
        <v>222</v>
      </c>
      <c r="P3" t="s">
        <v>223</v>
      </c>
      <c r="Q3" t="s">
        <v>221</v>
      </c>
      <c r="R3" t="s">
        <v>220</v>
      </c>
      <c r="S3" t="s">
        <v>102</v>
      </c>
      <c r="T3" t="s">
        <v>9</v>
      </c>
      <c r="U3" t="s">
        <v>103</v>
      </c>
    </row>
    <row r="4" spans="2:21" x14ac:dyDescent="0.35">
      <c r="B4" t="s">
        <v>45</v>
      </c>
      <c r="C4" t="s">
        <v>10</v>
      </c>
      <c r="D4" t="s">
        <v>11</v>
      </c>
      <c r="E4" t="s">
        <v>142</v>
      </c>
      <c r="F4" t="str">
        <f>IF(Table2[[#This Row],[Capacity (net MWe)]]&lt;=50,"Micro",IF(Table2[[#This Row],[Capacity (net MWe)]]&lt;=500,"SMR","Large"))</f>
        <v>SMR</v>
      </c>
      <c r="G4">
        <v>300</v>
      </c>
      <c r="H4">
        <v>300</v>
      </c>
      <c r="I4" s="11">
        <f>J76*$M$79</f>
        <v>1928.6999999999998</v>
      </c>
      <c r="J4" s="13">
        <v>3</v>
      </c>
      <c r="K4" t="s">
        <v>118</v>
      </c>
      <c r="L4">
        <v>60</v>
      </c>
      <c r="M4">
        <v>90</v>
      </c>
      <c r="N4" t="s">
        <v>104</v>
      </c>
      <c r="O4" s="14">
        <f>K76*$M$77*$M$79</f>
        <v>150974.60715999999</v>
      </c>
      <c r="P4" s="15">
        <v>3.5</v>
      </c>
      <c r="Q4" s="15">
        <f>L76*$M$77*$M$79</f>
        <v>6.5152343199999994</v>
      </c>
      <c r="R4" s="15">
        <v>1</v>
      </c>
      <c r="S4">
        <v>0.5</v>
      </c>
      <c r="T4" t="s">
        <v>105</v>
      </c>
      <c r="U4">
        <v>2020</v>
      </c>
    </row>
    <row r="5" spans="2:21" x14ac:dyDescent="0.35">
      <c r="B5" t="s">
        <v>54</v>
      </c>
      <c r="C5" t="s">
        <v>106</v>
      </c>
      <c r="D5" t="s">
        <v>13</v>
      </c>
      <c r="E5" t="s">
        <v>141</v>
      </c>
      <c r="F5" t="str">
        <f>IF(Table2[[#This Row],[Capacity (net MWe)]]&lt;=50,"Micro",IF(Table2[[#This Row],[Capacity (net MWe)]]&lt;=500,"SMR","Large"))</f>
        <v>SMR</v>
      </c>
      <c r="G5">
        <v>470</v>
      </c>
      <c r="H5">
        <v>443</v>
      </c>
      <c r="I5" s="11">
        <f t="shared" ref="I5:I22" si="0">J77*$M$79</f>
        <v>4471.1011963999999</v>
      </c>
      <c r="J5" s="13">
        <v>4</v>
      </c>
      <c r="K5" t="s">
        <v>118</v>
      </c>
      <c r="L5">
        <v>60</v>
      </c>
      <c r="M5">
        <v>90</v>
      </c>
      <c r="N5" t="s">
        <v>104</v>
      </c>
      <c r="O5" s="14">
        <f t="shared" ref="O5:O22" si="1">K77*$M$77*$M$79</f>
        <v>541969.19172799995</v>
      </c>
      <c r="P5" s="15">
        <v>3.5</v>
      </c>
      <c r="Q5" s="15">
        <f t="shared" ref="Q5:Q22" si="2">L77*$M$77*$M$79</f>
        <v>6.5152343199999994</v>
      </c>
      <c r="R5" s="15">
        <v>1</v>
      </c>
      <c r="S5">
        <v>0.5</v>
      </c>
      <c r="T5" t="s">
        <v>105</v>
      </c>
      <c r="U5">
        <v>2020</v>
      </c>
    </row>
    <row r="6" spans="2:21" x14ac:dyDescent="0.35">
      <c r="B6" t="s">
        <v>45</v>
      </c>
      <c r="C6" t="s">
        <v>15</v>
      </c>
      <c r="D6" t="s">
        <v>13</v>
      </c>
      <c r="E6" t="s">
        <v>129</v>
      </c>
      <c r="F6" t="str">
        <f>IF(Table2[[#This Row],[Capacity (net MWe)]]&lt;=50,"Micro",IF(Table2[[#This Row],[Capacity (net MWe)]]&lt;=500,"SMR","Large"))</f>
        <v>SMR</v>
      </c>
      <c r="G6">
        <v>160</v>
      </c>
      <c r="H6">
        <v>160</v>
      </c>
      <c r="I6" s="11">
        <f t="shared" si="0"/>
        <v>5411.0749999999998</v>
      </c>
      <c r="J6" s="13">
        <v>3</v>
      </c>
      <c r="K6" t="s">
        <v>118</v>
      </c>
      <c r="L6">
        <v>80</v>
      </c>
      <c r="M6">
        <v>90</v>
      </c>
      <c r="N6" t="s">
        <v>104</v>
      </c>
      <c r="O6" s="14">
        <f t="shared" si="1"/>
        <v>153358.99467999997</v>
      </c>
      <c r="P6" s="15">
        <v>3.5</v>
      </c>
      <c r="Q6" s="15">
        <f t="shared" si="2"/>
        <v>6.5152343199999994</v>
      </c>
      <c r="R6" s="15">
        <v>1</v>
      </c>
      <c r="S6">
        <v>0.5</v>
      </c>
      <c r="T6" t="s">
        <v>105</v>
      </c>
      <c r="U6">
        <v>2020</v>
      </c>
    </row>
    <row r="7" spans="2:21" x14ac:dyDescent="0.35">
      <c r="B7" t="s">
        <v>155</v>
      </c>
      <c r="C7" t="s">
        <v>16</v>
      </c>
      <c r="D7" t="s">
        <v>13</v>
      </c>
      <c r="E7" t="s">
        <v>141</v>
      </c>
      <c r="F7" t="str">
        <f>IF(Table2[[#This Row],[Capacity (net MWe)]]&lt;=50,"Micro",IF(Table2[[#This Row],[Capacity (net MWe)]]&lt;=500,"SMR","Large"))</f>
        <v>SMR</v>
      </c>
      <c r="G7">
        <v>107</v>
      </c>
      <c r="H7">
        <v>107</v>
      </c>
      <c r="I7" s="11">
        <f t="shared" si="0"/>
        <v>6857.5999999999995</v>
      </c>
      <c r="J7" s="13">
        <v>3</v>
      </c>
      <c r="K7" t="s">
        <v>118</v>
      </c>
      <c r="L7">
        <v>60</v>
      </c>
      <c r="M7">
        <v>90</v>
      </c>
      <c r="N7" t="s">
        <v>104</v>
      </c>
      <c r="O7" s="14">
        <f t="shared" si="1"/>
        <v>68002.104599999991</v>
      </c>
      <c r="P7" s="15">
        <v>3.5</v>
      </c>
      <c r="Q7" s="15">
        <f t="shared" si="2"/>
        <v>5.5531130399999995</v>
      </c>
      <c r="R7" s="15">
        <v>1</v>
      </c>
      <c r="S7">
        <v>0.5</v>
      </c>
      <c r="T7" t="s">
        <v>105</v>
      </c>
      <c r="U7">
        <v>2020</v>
      </c>
    </row>
    <row r="8" spans="2:21" x14ac:dyDescent="0.35">
      <c r="B8" t="s">
        <v>45</v>
      </c>
      <c r="C8" t="s">
        <v>17</v>
      </c>
      <c r="D8" t="s">
        <v>13</v>
      </c>
      <c r="E8" t="s">
        <v>142</v>
      </c>
      <c r="F8" t="str">
        <f>IF(Table2[[#This Row],[Capacity (net MWe)]]&lt;=50,"Micro",IF(Table2[[#This Row],[Capacity (net MWe)]]&lt;=500,"SMR","Large"))</f>
        <v>SMR</v>
      </c>
      <c r="G8">
        <v>77</v>
      </c>
      <c r="H8">
        <v>77</v>
      </c>
      <c r="I8" s="11">
        <f t="shared" si="0"/>
        <v>3085.92</v>
      </c>
      <c r="J8" s="13">
        <v>3</v>
      </c>
      <c r="K8" t="s">
        <v>118</v>
      </c>
      <c r="L8">
        <v>60</v>
      </c>
      <c r="M8">
        <v>90</v>
      </c>
      <c r="N8" t="s">
        <v>104</v>
      </c>
      <c r="O8" s="14">
        <f t="shared" si="1"/>
        <v>187817.57747999998</v>
      </c>
      <c r="P8" s="15">
        <v>3.5</v>
      </c>
      <c r="Q8" s="15">
        <f t="shared" si="2"/>
        <v>7.4773556000000001</v>
      </c>
      <c r="R8" s="15">
        <v>1</v>
      </c>
      <c r="S8">
        <v>0.5</v>
      </c>
      <c r="T8" t="s">
        <v>105</v>
      </c>
      <c r="U8">
        <v>2020</v>
      </c>
    </row>
    <row r="9" spans="2:21" x14ac:dyDescent="0.35">
      <c r="B9" t="s">
        <v>92</v>
      </c>
      <c r="C9" t="s">
        <v>32</v>
      </c>
      <c r="D9" t="s">
        <v>13</v>
      </c>
      <c r="E9" t="s">
        <v>141</v>
      </c>
      <c r="F9" t="str">
        <f>IF(Table2[[#This Row],[Capacity (net MWe)]]&lt;=50,"Micro",IF(Table2[[#This Row],[Capacity (net MWe)]]&lt;=500,"SMR","Large"))</f>
        <v>SMR</v>
      </c>
      <c r="G9">
        <v>50</v>
      </c>
      <c r="H9">
        <v>55</v>
      </c>
      <c r="I9" s="11">
        <f t="shared" si="0"/>
        <v>3610.5263999999997</v>
      </c>
      <c r="J9" s="13">
        <v>7</v>
      </c>
      <c r="K9" t="s">
        <v>118</v>
      </c>
      <c r="L9">
        <v>40</v>
      </c>
      <c r="M9">
        <v>90</v>
      </c>
      <c r="N9" t="s">
        <v>104</v>
      </c>
      <c r="O9" s="14">
        <f t="shared" si="1"/>
        <v>178808.14832000001</v>
      </c>
      <c r="P9" s="15">
        <v>3.5</v>
      </c>
      <c r="Q9" s="15">
        <f t="shared" si="2"/>
        <v>6.5152343199999994</v>
      </c>
      <c r="R9" s="15">
        <v>1</v>
      </c>
      <c r="S9">
        <v>0.5</v>
      </c>
      <c r="T9" t="s">
        <v>105</v>
      </c>
      <c r="U9">
        <v>2020</v>
      </c>
    </row>
    <row r="10" spans="2:21" x14ac:dyDescent="0.35">
      <c r="B10" t="s">
        <v>93</v>
      </c>
      <c r="C10" t="s">
        <v>33</v>
      </c>
      <c r="D10" t="s">
        <v>13</v>
      </c>
      <c r="E10" t="s">
        <v>141</v>
      </c>
      <c r="F10" t="str">
        <f>IF(Table2[[#This Row],[Capacity (net MWe)]]&lt;=50,"Micro",IF(Table2[[#This Row],[Capacity (net MWe)]]&lt;=500,"SMR","Large"))</f>
        <v>Micro</v>
      </c>
      <c r="G10">
        <v>50</v>
      </c>
      <c r="H10">
        <v>40</v>
      </c>
      <c r="I10" s="11">
        <f t="shared" si="0"/>
        <v>7313.6304</v>
      </c>
      <c r="J10" s="13">
        <v>3</v>
      </c>
      <c r="K10" t="s">
        <v>118</v>
      </c>
      <c r="L10">
        <v>40</v>
      </c>
      <c r="M10">
        <v>90</v>
      </c>
      <c r="N10" t="s">
        <v>104</v>
      </c>
      <c r="O10" s="14">
        <f t="shared" si="1"/>
        <v>153358.99467999997</v>
      </c>
      <c r="P10" s="15">
        <v>3.5</v>
      </c>
      <c r="Q10" s="15">
        <f t="shared" si="2"/>
        <v>6.5152343199999994</v>
      </c>
      <c r="R10" s="15">
        <v>1</v>
      </c>
      <c r="S10">
        <v>0.5</v>
      </c>
      <c r="T10" t="s">
        <v>105</v>
      </c>
      <c r="U10">
        <v>2020</v>
      </c>
    </row>
    <row r="11" spans="2:21" x14ac:dyDescent="0.35">
      <c r="B11" t="s">
        <v>92</v>
      </c>
      <c r="C11" t="s">
        <v>18</v>
      </c>
      <c r="D11" t="s">
        <v>13</v>
      </c>
      <c r="E11" t="s">
        <v>141</v>
      </c>
      <c r="F11" t="str">
        <f>IF(Table2[[#This Row],[Capacity (net MWe)]]&lt;=50,"Micro",IF(Table2[[#This Row],[Capacity (net MWe)]]&lt;=500,"SMR","Large"))</f>
        <v>Micro</v>
      </c>
      <c r="G11">
        <v>35</v>
      </c>
      <c r="H11">
        <v>32</v>
      </c>
      <c r="I11" s="11">
        <f t="shared" si="0"/>
        <v>11599.140938799999</v>
      </c>
      <c r="J11" s="13">
        <v>3</v>
      </c>
      <c r="K11">
        <v>13.1</v>
      </c>
      <c r="L11">
        <v>40</v>
      </c>
      <c r="M11">
        <v>90</v>
      </c>
      <c r="N11" t="s">
        <v>104</v>
      </c>
      <c r="O11" s="14">
        <f t="shared" si="1"/>
        <v>178808.14832000001</v>
      </c>
      <c r="P11" s="15">
        <v>3.5</v>
      </c>
      <c r="Q11" s="15">
        <f t="shared" si="2"/>
        <v>6.5152343199999994</v>
      </c>
      <c r="R11" s="15">
        <v>1</v>
      </c>
      <c r="S11">
        <v>0.5</v>
      </c>
      <c r="T11" t="s">
        <v>105</v>
      </c>
      <c r="U11">
        <v>2020</v>
      </c>
    </row>
    <row r="12" spans="2:21" x14ac:dyDescent="0.35">
      <c r="B12" t="s">
        <v>156</v>
      </c>
      <c r="C12" t="s">
        <v>19</v>
      </c>
      <c r="D12" t="s">
        <v>13</v>
      </c>
      <c r="E12" t="s">
        <v>141</v>
      </c>
      <c r="F12" t="str">
        <f>IF(Table2[[#This Row],[Capacity (net MWe)]]&lt;=50,"Micro",IF(Table2[[#This Row],[Capacity (net MWe)]]&lt;=500,"SMR","Large"))</f>
        <v>Micro</v>
      </c>
      <c r="G12">
        <v>29</v>
      </c>
      <c r="H12">
        <v>25</v>
      </c>
      <c r="I12" s="11">
        <f t="shared" si="0"/>
        <v>19876.325000000001</v>
      </c>
      <c r="J12" s="13">
        <v>3.5</v>
      </c>
      <c r="L12">
        <v>60</v>
      </c>
      <c r="M12">
        <v>90</v>
      </c>
      <c r="N12" t="s">
        <v>104</v>
      </c>
      <c r="O12" s="14">
        <f t="shared" si="1"/>
        <v>153358.99467999997</v>
      </c>
      <c r="P12" s="15">
        <v>3.5</v>
      </c>
      <c r="Q12" s="15">
        <f t="shared" si="2"/>
        <v>6.5152343199999994</v>
      </c>
      <c r="R12" s="15">
        <v>1</v>
      </c>
      <c r="S12">
        <v>0.5</v>
      </c>
      <c r="T12" t="s">
        <v>105</v>
      </c>
      <c r="U12">
        <v>2020</v>
      </c>
    </row>
    <row r="13" spans="2:21" x14ac:dyDescent="0.35">
      <c r="B13" t="s">
        <v>157</v>
      </c>
      <c r="C13" t="s">
        <v>20</v>
      </c>
      <c r="D13" t="s">
        <v>35</v>
      </c>
      <c r="E13" t="s">
        <v>141</v>
      </c>
      <c r="F13" t="str">
        <f>IF(Table2[[#This Row],[Capacity (net MWe)]]&lt;=50,"Micro",IF(Table2[[#This Row],[Capacity (net MWe)]]&lt;=500,"SMR","Large"))</f>
        <v>SMR</v>
      </c>
      <c r="G13">
        <v>265</v>
      </c>
      <c r="H13">
        <v>265</v>
      </c>
      <c r="I13" s="11">
        <f t="shared" si="0"/>
        <v>3748.7927599999998</v>
      </c>
      <c r="J13" s="13">
        <f>42/12</f>
        <v>3.5</v>
      </c>
      <c r="L13">
        <v>60</v>
      </c>
      <c r="M13">
        <v>90</v>
      </c>
      <c r="N13" t="s">
        <v>104</v>
      </c>
      <c r="O13" s="14">
        <f t="shared" si="1"/>
        <v>109117.10256</v>
      </c>
      <c r="P13" s="15">
        <v>3.5</v>
      </c>
      <c r="Q13" s="15">
        <f t="shared" si="2"/>
        <v>20.17317336</v>
      </c>
      <c r="R13" s="15">
        <v>1</v>
      </c>
      <c r="S13">
        <v>0.5</v>
      </c>
      <c r="T13" t="s">
        <v>105</v>
      </c>
      <c r="U13">
        <v>2020</v>
      </c>
    </row>
    <row r="14" spans="2:21" x14ac:dyDescent="0.35">
      <c r="B14" t="s">
        <v>93</v>
      </c>
      <c r="C14" t="s">
        <v>21</v>
      </c>
      <c r="D14" t="s">
        <v>35</v>
      </c>
      <c r="E14" t="s">
        <v>141</v>
      </c>
      <c r="F14" t="str">
        <f>IF(Table2[[#This Row],[Capacity (net MWe)]]&lt;=50,"Micro",IF(Table2[[#This Row],[Capacity (net MWe)]]&lt;=500,"SMR","Large"))</f>
        <v>SMR</v>
      </c>
      <c r="G14">
        <v>210</v>
      </c>
      <c r="H14">
        <v>200</v>
      </c>
      <c r="I14" s="11">
        <f t="shared" si="0"/>
        <v>2803.0439999999999</v>
      </c>
      <c r="J14" s="13">
        <f>59/12</f>
        <v>4.916666666666667</v>
      </c>
      <c r="K14">
        <v>11</v>
      </c>
      <c r="L14">
        <v>60</v>
      </c>
      <c r="M14">
        <v>90</v>
      </c>
      <c r="N14" t="s">
        <v>104</v>
      </c>
      <c r="O14" s="14">
        <f t="shared" si="1"/>
        <v>176653.83327999999</v>
      </c>
      <c r="P14" s="15">
        <v>3.5</v>
      </c>
      <c r="Q14" s="15">
        <f t="shared" si="2"/>
        <v>14.59914464</v>
      </c>
      <c r="R14" s="15">
        <v>1</v>
      </c>
      <c r="S14">
        <v>0.5</v>
      </c>
      <c r="T14" t="s">
        <v>105</v>
      </c>
      <c r="U14">
        <v>2020</v>
      </c>
    </row>
    <row r="15" spans="2:21" x14ac:dyDescent="0.35">
      <c r="B15" t="s">
        <v>196</v>
      </c>
      <c r="C15" t="s">
        <v>22</v>
      </c>
      <c r="D15" t="s">
        <v>36</v>
      </c>
      <c r="E15" t="s">
        <v>125</v>
      </c>
      <c r="F15" s="12" t="str">
        <f>IF(Table2[[#This Row],[Capacity (net MWe)]]&lt;=50,"Micro",IF(Table2[[#This Row],[Capacity (net MWe)]]&lt;=500,"SMR","Large"))</f>
        <v>SMR</v>
      </c>
      <c r="H15">
        <v>165</v>
      </c>
      <c r="I15" s="11">
        <f t="shared" si="0"/>
        <v>1486.6419599999999</v>
      </c>
      <c r="J15" s="13">
        <v>4</v>
      </c>
      <c r="K15" s="12"/>
      <c r="L15">
        <v>40</v>
      </c>
      <c r="M15">
        <v>90</v>
      </c>
      <c r="O15" s="14">
        <f t="shared" si="1"/>
        <v>142885.46792</v>
      </c>
      <c r="P15" s="15">
        <v>3.5</v>
      </c>
      <c r="Q15" s="15">
        <f t="shared" si="2"/>
        <v>9.0251159200000011</v>
      </c>
      <c r="R15" s="15">
        <v>1</v>
      </c>
      <c r="S15">
        <v>0.5</v>
      </c>
      <c r="T15" t="s">
        <v>105</v>
      </c>
      <c r="U15">
        <v>2020</v>
      </c>
    </row>
    <row r="16" spans="2:21" x14ac:dyDescent="0.35">
      <c r="B16" t="s">
        <v>91</v>
      </c>
      <c r="C16" t="s">
        <v>23</v>
      </c>
      <c r="D16" t="s">
        <v>37</v>
      </c>
      <c r="E16" t="s">
        <v>141</v>
      </c>
      <c r="F16" t="str">
        <f>IF(Table2[[#This Row],[Capacity (net MWe)]]&lt;=50,"Micro",IF(Table2[[#This Row],[Capacity (net MWe)]]&lt;=500,"SMR","Large"))</f>
        <v>SMR</v>
      </c>
      <c r="G16">
        <v>100</v>
      </c>
      <c r="H16">
        <v>100</v>
      </c>
      <c r="I16" s="11">
        <f t="shared" si="0"/>
        <v>4328.8599999999997</v>
      </c>
      <c r="J16" s="13">
        <v>2.8</v>
      </c>
      <c r="L16">
        <v>60</v>
      </c>
      <c r="M16">
        <v>90</v>
      </c>
      <c r="N16" t="s">
        <v>104</v>
      </c>
      <c r="O16" s="14">
        <f t="shared" si="1"/>
        <v>136736.258</v>
      </c>
      <c r="P16" s="15">
        <v>3.5</v>
      </c>
      <c r="Q16" s="15">
        <f t="shared" si="2"/>
        <v>81.612983360000001</v>
      </c>
      <c r="R16" s="15">
        <v>1</v>
      </c>
      <c r="S16">
        <v>0.5</v>
      </c>
      <c r="T16" t="s">
        <v>105</v>
      </c>
      <c r="U16">
        <v>2020</v>
      </c>
    </row>
    <row r="17" spans="2:21" x14ac:dyDescent="0.35">
      <c r="B17" t="s">
        <v>93</v>
      </c>
      <c r="C17" t="s">
        <v>24</v>
      </c>
      <c r="D17" t="s">
        <v>37</v>
      </c>
      <c r="E17" t="s">
        <v>141</v>
      </c>
      <c r="F17" t="str">
        <f>IF(Table2[[#This Row],[Capacity (net MWe)]]&lt;=50,"Micro",IF(Table2[[#This Row],[Capacity (net MWe)]]&lt;=500,"SMR","Large"))</f>
        <v>Micro</v>
      </c>
      <c r="G17">
        <v>20</v>
      </c>
      <c r="H17">
        <v>20</v>
      </c>
      <c r="I17" s="11">
        <f t="shared" si="0"/>
        <v>16586.82</v>
      </c>
      <c r="J17" s="13">
        <v>3</v>
      </c>
      <c r="K17">
        <v>12.4</v>
      </c>
      <c r="L17">
        <v>30</v>
      </c>
      <c r="M17">
        <v>90</v>
      </c>
      <c r="N17" t="s">
        <v>104</v>
      </c>
      <c r="O17" s="14">
        <f t="shared" si="1"/>
        <v>136736.258</v>
      </c>
      <c r="P17" s="15">
        <v>3.5</v>
      </c>
      <c r="Q17" s="15">
        <f t="shared" si="2"/>
        <v>118.22588119999999</v>
      </c>
      <c r="R17" s="15">
        <v>1</v>
      </c>
      <c r="S17">
        <v>0.5</v>
      </c>
      <c r="T17" t="s">
        <v>105</v>
      </c>
      <c r="U17">
        <v>2020</v>
      </c>
    </row>
    <row r="18" spans="2:21" x14ac:dyDescent="0.35">
      <c r="B18" t="s">
        <v>158</v>
      </c>
      <c r="C18" t="s">
        <v>25</v>
      </c>
      <c r="D18" t="s">
        <v>37</v>
      </c>
      <c r="E18" t="s">
        <v>141</v>
      </c>
      <c r="F18" t="str">
        <f>IF(Table2[[#This Row],[Capacity (net MWe)]]&lt;=50,"Micro",IF(Table2[[#This Row],[Capacity (net MWe)]]&lt;=500,"SMR","Large"))</f>
        <v>Micro</v>
      </c>
      <c r="G18">
        <v>10</v>
      </c>
      <c r="H18">
        <v>10</v>
      </c>
      <c r="I18" s="11">
        <f t="shared" si="0"/>
        <v>5914.6799999999994</v>
      </c>
      <c r="J18" s="13">
        <v>3</v>
      </c>
      <c r="L18">
        <v>30</v>
      </c>
      <c r="M18">
        <v>90</v>
      </c>
      <c r="N18" t="s">
        <v>104</v>
      </c>
      <c r="O18" s="14">
        <f t="shared" si="1"/>
        <v>136736.258</v>
      </c>
      <c r="P18" s="15">
        <v>3.5</v>
      </c>
      <c r="Q18" s="15">
        <f t="shared" si="2"/>
        <v>24.952406239999998</v>
      </c>
      <c r="R18" s="15">
        <v>1</v>
      </c>
      <c r="S18">
        <v>0.5</v>
      </c>
      <c r="T18" t="s">
        <v>105</v>
      </c>
      <c r="U18">
        <v>2020</v>
      </c>
    </row>
    <row r="19" spans="2:21" x14ac:dyDescent="0.35">
      <c r="B19" t="s">
        <v>91</v>
      </c>
      <c r="C19" t="s">
        <v>26</v>
      </c>
      <c r="D19" t="s">
        <v>38</v>
      </c>
      <c r="E19" t="s">
        <v>129</v>
      </c>
      <c r="F19" t="str">
        <f>IF(Table2[[#This Row],[Capacity (net MWe)]]&lt;=50,"Micro",IF(Table2[[#This Row],[Capacity (net MWe)]]&lt;=500,"SMR","Large"))</f>
        <v>SMR</v>
      </c>
      <c r="G19">
        <v>200</v>
      </c>
      <c r="H19">
        <v>195</v>
      </c>
      <c r="I19" s="11">
        <f t="shared" si="0"/>
        <v>3475.3168151999998</v>
      </c>
      <c r="J19" s="13">
        <v>4</v>
      </c>
      <c r="L19">
        <v>60</v>
      </c>
      <c r="M19">
        <v>90</v>
      </c>
      <c r="N19" t="s">
        <v>104</v>
      </c>
      <c r="O19" s="14">
        <f t="shared" si="1"/>
        <v>188776.56140799998</v>
      </c>
      <c r="P19" s="15">
        <v>3.5</v>
      </c>
      <c r="Q19" s="15">
        <f t="shared" si="2"/>
        <v>9.3493089599999983</v>
      </c>
      <c r="R19" s="15">
        <v>1</v>
      </c>
      <c r="S19">
        <v>0.5</v>
      </c>
      <c r="T19" t="s">
        <v>105</v>
      </c>
      <c r="U19">
        <v>2020</v>
      </c>
    </row>
    <row r="20" spans="2:21" x14ac:dyDescent="0.35">
      <c r="B20" t="s">
        <v>91</v>
      </c>
      <c r="C20" t="s">
        <v>27</v>
      </c>
      <c r="D20" t="s">
        <v>39</v>
      </c>
      <c r="E20" t="s">
        <v>129</v>
      </c>
      <c r="F20" t="str">
        <f>IF(Table2[[#This Row],[Capacity (net MWe)]]&lt;=50,"Micro",IF(Table2[[#This Row],[Capacity (net MWe)]]&lt;=500,"SMR","Large"))</f>
        <v>SMR</v>
      </c>
      <c r="G20">
        <v>300</v>
      </c>
      <c r="H20">
        <v>300</v>
      </c>
      <c r="I20" s="11">
        <f t="shared" si="0"/>
        <v>1671.54</v>
      </c>
      <c r="J20" s="13">
        <v>3</v>
      </c>
      <c r="L20">
        <v>60</v>
      </c>
      <c r="M20">
        <v>90</v>
      </c>
      <c r="N20" t="s">
        <v>104</v>
      </c>
      <c r="O20" s="14">
        <f t="shared" si="1"/>
        <v>136736.258</v>
      </c>
      <c r="P20" s="15">
        <v>3.5</v>
      </c>
      <c r="Q20" s="15">
        <f t="shared" si="2"/>
        <v>30.902917200000001</v>
      </c>
      <c r="R20" s="15">
        <v>1</v>
      </c>
      <c r="S20">
        <v>0.5</v>
      </c>
      <c r="T20" t="s">
        <v>105</v>
      </c>
      <c r="U20">
        <v>2020</v>
      </c>
    </row>
    <row r="21" spans="2:21" x14ac:dyDescent="0.35">
      <c r="B21" t="s">
        <v>45</v>
      </c>
      <c r="C21" t="s">
        <v>28</v>
      </c>
      <c r="D21" t="s">
        <v>40</v>
      </c>
      <c r="E21" t="s">
        <v>129</v>
      </c>
      <c r="F21" t="str">
        <f>IF(Table2[[#This Row],[Capacity (net MWe)]]&lt;=50,"Micro",IF(Table2[[#This Row],[Capacity (net MWe)]]&lt;=500,"SMR","Large"))</f>
        <v>Micro</v>
      </c>
      <c r="G21">
        <v>5</v>
      </c>
      <c r="H21">
        <v>5</v>
      </c>
      <c r="I21" s="11">
        <f t="shared" si="0"/>
        <v>4947.2689387999999</v>
      </c>
      <c r="J21" s="13">
        <v>3</v>
      </c>
      <c r="L21">
        <v>60</v>
      </c>
      <c r="M21">
        <v>90</v>
      </c>
      <c r="N21" t="s">
        <v>104</v>
      </c>
      <c r="O21" s="14">
        <f t="shared" si="1"/>
        <v>136736.258</v>
      </c>
      <c r="P21" s="15">
        <v>3.5</v>
      </c>
      <c r="Q21" s="15">
        <f t="shared" si="2"/>
        <v>30.902917200000001</v>
      </c>
      <c r="R21" s="15">
        <v>1</v>
      </c>
      <c r="S21">
        <v>0.5</v>
      </c>
      <c r="T21" t="s">
        <v>105</v>
      </c>
      <c r="U21">
        <v>2020</v>
      </c>
    </row>
    <row r="22" spans="2:21" x14ac:dyDescent="0.35">
      <c r="B22" t="s">
        <v>92</v>
      </c>
      <c r="C22" t="s">
        <v>29</v>
      </c>
      <c r="D22" t="s">
        <v>43</v>
      </c>
      <c r="E22" t="s">
        <v>129</v>
      </c>
      <c r="F22" t="str">
        <f>IF(Table2[[#This Row],[Capacity (net MWe)]]&lt;=50,"Micro",IF(Table2[[#This Row],[Capacity (net MWe)]]&lt;=500,"SMR","Large"))</f>
        <v>SMR</v>
      </c>
      <c r="G22">
        <v>306</v>
      </c>
      <c r="H22">
        <v>300</v>
      </c>
      <c r="I22" s="11">
        <f t="shared" si="0"/>
        <v>3565.9519999999998</v>
      </c>
      <c r="J22" s="13">
        <v>3</v>
      </c>
      <c r="L22">
        <v>30</v>
      </c>
      <c r="M22">
        <v>90</v>
      </c>
      <c r="N22" t="s">
        <v>104</v>
      </c>
      <c r="O22" s="14">
        <f t="shared" si="1"/>
        <v>136736.258</v>
      </c>
      <c r="P22" s="15">
        <v>3.5</v>
      </c>
      <c r="Q22" s="15">
        <f t="shared" si="2"/>
        <v>30.902917200000001</v>
      </c>
      <c r="R22" s="15">
        <v>1</v>
      </c>
      <c r="S22">
        <v>0.5</v>
      </c>
      <c r="T22" t="s">
        <v>105</v>
      </c>
      <c r="U22">
        <v>2020</v>
      </c>
    </row>
    <row r="23" spans="2:21" x14ac:dyDescent="0.35">
      <c r="B23" t="s">
        <v>45</v>
      </c>
      <c r="C23" t="s">
        <v>207</v>
      </c>
      <c r="D23" t="s">
        <v>13</v>
      </c>
      <c r="F23" t="str">
        <f>IF(Table2[[#This Row],[Capacity (net MWe)]]&lt;=50,"Micro",IF(Table2[[#This Row],[Capacity (net MWe)]]&lt;=500,"SMR","Large"))</f>
        <v>Large</v>
      </c>
      <c r="G23">
        <v>1200</v>
      </c>
      <c r="H23">
        <v>1200</v>
      </c>
      <c r="I23">
        <v>6000</v>
      </c>
      <c r="J23" s="13">
        <v>5</v>
      </c>
      <c r="K23" s="12"/>
      <c r="L23">
        <v>60</v>
      </c>
      <c r="O23" s="11">
        <v>100000</v>
      </c>
      <c r="P23">
        <v>5</v>
      </c>
      <c r="Q23">
        <v>20</v>
      </c>
      <c r="R23" s="15">
        <v>1</v>
      </c>
      <c r="S23">
        <v>0.5</v>
      </c>
      <c r="T23" t="s">
        <v>197</v>
      </c>
      <c r="U23">
        <v>2021</v>
      </c>
    </row>
    <row r="24" spans="2:21" x14ac:dyDescent="0.35">
      <c r="B24" t="s">
        <v>45</v>
      </c>
      <c r="C24" t="s">
        <v>208</v>
      </c>
      <c r="D24" t="s">
        <v>37</v>
      </c>
      <c r="F24" t="str">
        <f>IF(Table2[[#This Row],[Capacity (net MWe)]]&lt;=50,"Micro",IF(Table2[[#This Row],[Capacity (net MWe)]]&lt;=500,"SMR","Large"))</f>
        <v>Large</v>
      </c>
      <c r="G24">
        <v>1200</v>
      </c>
      <c r="H24">
        <v>1200</v>
      </c>
      <c r="I24">
        <v>6000</v>
      </c>
      <c r="J24" s="13">
        <v>5</v>
      </c>
      <c r="K24" s="12"/>
      <c r="L24">
        <v>60</v>
      </c>
      <c r="O24" s="11">
        <v>100000</v>
      </c>
      <c r="P24">
        <v>5</v>
      </c>
      <c r="Q24">
        <v>20</v>
      </c>
      <c r="R24" s="15">
        <v>1</v>
      </c>
      <c r="S24">
        <v>0.5</v>
      </c>
      <c r="T24" t="s">
        <v>198</v>
      </c>
      <c r="U24">
        <v>2022</v>
      </c>
    </row>
    <row r="25" spans="2:21" x14ac:dyDescent="0.35">
      <c r="B25" t="s">
        <v>45</v>
      </c>
      <c r="C25" t="s">
        <v>209</v>
      </c>
      <c r="D25" t="s">
        <v>35</v>
      </c>
      <c r="F25" t="str">
        <f>IF(Table2[[#This Row],[Capacity (net MWe)]]&lt;=50,"Micro",IF(Table2[[#This Row],[Capacity (net MWe)]]&lt;=500,"SMR","Large"))</f>
        <v>Large</v>
      </c>
      <c r="G25">
        <v>1200</v>
      </c>
      <c r="H25">
        <v>1200</v>
      </c>
      <c r="I25">
        <v>6000</v>
      </c>
      <c r="J25" s="13">
        <v>5</v>
      </c>
      <c r="K25" s="12"/>
      <c r="L25">
        <v>60</v>
      </c>
      <c r="O25" s="11">
        <v>100000</v>
      </c>
      <c r="P25">
        <v>5</v>
      </c>
      <c r="Q25">
        <v>20</v>
      </c>
      <c r="R25" s="15">
        <v>1</v>
      </c>
      <c r="S25">
        <v>0.5</v>
      </c>
      <c r="T25" t="s">
        <v>199</v>
      </c>
      <c r="U25">
        <v>2023</v>
      </c>
    </row>
    <row r="26" spans="2:21" x14ac:dyDescent="0.35">
      <c r="B26" t="s">
        <v>45</v>
      </c>
      <c r="C26" t="s">
        <v>210</v>
      </c>
      <c r="D26" t="s">
        <v>11</v>
      </c>
      <c r="F26" t="str">
        <f>IF(Table2[[#This Row],[Capacity (net MWe)]]&lt;=50,"Micro",IF(Table2[[#This Row],[Capacity (net MWe)]]&lt;=500,"SMR","Large"))</f>
        <v>Large</v>
      </c>
      <c r="G26">
        <v>1200</v>
      </c>
      <c r="H26">
        <v>1200</v>
      </c>
      <c r="I26">
        <v>6000</v>
      </c>
      <c r="J26" s="13">
        <v>5</v>
      </c>
      <c r="K26" s="12"/>
      <c r="L26">
        <v>60</v>
      </c>
      <c r="O26" s="11">
        <v>100000</v>
      </c>
      <c r="P26">
        <v>5</v>
      </c>
      <c r="Q26">
        <v>20</v>
      </c>
      <c r="R26" s="15">
        <v>1</v>
      </c>
      <c r="S26">
        <v>0.5</v>
      </c>
      <c r="T26" t="s">
        <v>200</v>
      </c>
      <c r="U26">
        <v>2024</v>
      </c>
    </row>
    <row r="27" spans="2:21" x14ac:dyDescent="0.35">
      <c r="B27" t="s">
        <v>45</v>
      </c>
      <c r="C27" t="s">
        <v>211</v>
      </c>
      <c r="D27" t="s">
        <v>38</v>
      </c>
      <c r="F27" t="str">
        <f>IF(Table2[[#This Row],[Capacity (net MWe)]]&lt;=50,"Micro",IF(Table2[[#This Row],[Capacity (net MWe)]]&lt;=500,"SMR","Large"))</f>
        <v>Large</v>
      </c>
      <c r="G27">
        <v>1200</v>
      </c>
      <c r="H27">
        <v>1200</v>
      </c>
      <c r="I27">
        <v>6000</v>
      </c>
      <c r="J27" s="13">
        <v>5</v>
      </c>
      <c r="K27" s="12"/>
      <c r="L27">
        <v>60</v>
      </c>
      <c r="O27" s="11">
        <v>100000</v>
      </c>
      <c r="P27">
        <v>5</v>
      </c>
      <c r="Q27">
        <v>20</v>
      </c>
      <c r="R27" s="15">
        <v>1</v>
      </c>
      <c r="S27">
        <v>0.5</v>
      </c>
      <c r="T27" t="s">
        <v>201</v>
      </c>
      <c r="U27">
        <v>2025</v>
      </c>
    </row>
    <row r="28" spans="2:21" x14ac:dyDescent="0.35">
      <c r="B28" t="s">
        <v>45</v>
      </c>
      <c r="C28" t="s">
        <v>212</v>
      </c>
      <c r="D28" t="s">
        <v>13</v>
      </c>
      <c r="F28" t="str">
        <f>IF(Table2[[#This Row],[Capacity (net MWe)]]&lt;=50,"Micro",IF(Table2[[#This Row],[Capacity (net MWe)]]&lt;=500,"SMR","Large"))</f>
        <v>Micro</v>
      </c>
      <c r="G28">
        <v>30</v>
      </c>
      <c r="H28">
        <v>30</v>
      </c>
      <c r="I28">
        <v>6000</v>
      </c>
      <c r="J28" s="13">
        <v>3</v>
      </c>
      <c r="K28" s="12"/>
      <c r="L28">
        <v>60</v>
      </c>
      <c r="O28" s="11">
        <v>150000</v>
      </c>
      <c r="P28">
        <v>3</v>
      </c>
      <c r="Q28">
        <v>40</v>
      </c>
      <c r="R28" s="15">
        <v>1</v>
      </c>
      <c r="S28">
        <v>0.5</v>
      </c>
      <c r="T28" t="s">
        <v>202</v>
      </c>
      <c r="U28">
        <v>2026</v>
      </c>
    </row>
    <row r="29" spans="2:21" x14ac:dyDescent="0.35">
      <c r="B29" t="s">
        <v>45</v>
      </c>
      <c r="C29" t="s">
        <v>213</v>
      </c>
      <c r="D29" t="s">
        <v>37</v>
      </c>
      <c r="F29" t="str">
        <f>IF(Table2[[#This Row],[Capacity (net MWe)]]&lt;=50,"Micro",IF(Table2[[#This Row],[Capacity (net MWe)]]&lt;=500,"SMR","Large"))</f>
        <v>Micro</v>
      </c>
      <c r="G29">
        <v>30</v>
      </c>
      <c r="H29">
        <v>30</v>
      </c>
      <c r="I29">
        <v>6000</v>
      </c>
      <c r="J29" s="13">
        <v>3</v>
      </c>
      <c r="K29" s="12"/>
      <c r="L29">
        <v>60</v>
      </c>
      <c r="O29" s="11">
        <v>150000</v>
      </c>
      <c r="P29">
        <v>3</v>
      </c>
      <c r="Q29">
        <v>40</v>
      </c>
      <c r="R29" s="15">
        <v>1</v>
      </c>
      <c r="S29">
        <v>0.5</v>
      </c>
      <c r="T29" t="s">
        <v>203</v>
      </c>
      <c r="U29">
        <v>2027</v>
      </c>
    </row>
    <row r="30" spans="2:21" x14ac:dyDescent="0.35">
      <c r="B30" t="s">
        <v>45</v>
      </c>
      <c r="C30" t="s">
        <v>214</v>
      </c>
      <c r="D30" t="s">
        <v>35</v>
      </c>
      <c r="F30" t="str">
        <f>IF(Table2[[#This Row],[Capacity (net MWe)]]&lt;=50,"Micro",IF(Table2[[#This Row],[Capacity (net MWe)]]&lt;=500,"SMR","Large"))</f>
        <v>Micro</v>
      </c>
      <c r="G30">
        <v>30</v>
      </c>
      <c r="H30">
        <v>30</v>
      </c>
      <c r="I30">
        <v>6000</v>
      </c>
      <c r="J30" s="13">
        <v>3</v>
      </c>
      <c r="K30" s="12"/>
      <c r="L30">
        <v>60</v>
      </c>
      <c r="O30" s="11">
        <v>150000</v>
      </c>
      <c r="P30">
        <v>3</v>
      </c>
      <c r="Q30">
        <v>40</v>
      </c>
      <c r="R30" s="15">
        <v>1</v>
      </c>
      <c r="S30">
        <v>0.5</v>
      </c>
      <c r="T30" t="s">
        <v>204</v>
      </c>
      <c r="U30">
        <v>2028</v>
      </c>
    </row>
    <row r="31" spans="2:21" x14ac:dyDescent="0.35">
      <c r="B31" t="s">
        <v>45</v>
      </c>
      <c r="C31" t="s">
        <v>215</v>
      </c>
      <c r="D31" t="s">
        <v>11</v>
      </c>
      <c r="F31" t="str">
        <f>IF(Table2[[#This Row],[Capacity (net MWe)]]&lt;=50,"Micro",IF(Table2[[#This Row],[Capacity (net MWe)]]&lt;=500,"SMR","Large"))</f>
        <v>Micro</v>
      </c>
      <c r="G31">
        <v>30</v>
      </c>
      <c r="H31">
        <v>30</v>
      </c>
      <c r="I31">
        <v>6000</v>
      </c>
      <c r="J31" s="13">
        <v>3</v>
      </c>
      <c r="K31" s="12"/>
      <c r="L31">
        <v>60</v>
      </c>
      <c r="O31" s="11">
        <v>150000</v>
      </c>
      <c r="P31">
        <v>3</v>
      </c>
      <c r="Q31">
        <v>40</v>
      </c>
      <c r="R31" s="15">
        <v>1</v>
      </c>
      <c r="S31">
        <v>0.5</v>
      </c>
      <c r="T31" t="s">
        <v>205</v>
      </c>
      <c r="U31">
        <v>2029</v>
      </c>
    </row>
    <row r="32" spans="2:21" x14ac:dyDescent="0.35">
      <c r="B32" t="s">
        <v>45</v>
      </c>
      <c r="C32" t="s">
        <v>216</v>
      </c>
      <c r="D32" t="s">
        <v>38</v>
      </c>
      <c r="F32" t="str">
        <f>IF(Table2[[#This Row],[Capacity (net MWe)]]&lt;=50,"Micro",IF(Table2[[#This Row],[Capacity (net MWe)]]&lt;=500,"SMR","Large"))</f>
        <v>Micro</v>
      </c>
      <c r="G32">
        <v>30</v>
      </c>
      <c r="H32">
        <v>30</v>
      </c>
      <c r="I32">
        <v>6000</v>
      </c>
      <c r="J32" s="13">
        <v>3</v>
      </c>
      <c r="K32" s="12"/>
      <c r="L32">
        <v>60</v>
      </c>
      <c r="O32" s="11">
        <v>150000</v>
      </c>
      <c r="P32">
        <v>3</v>
      </c>
      <c r="Q32">
        <v>40</v>
      </c>
      <c r="R32" s="15">
        <v>1</v>
      </c>
      <c r="S32">
        <v>0.5</v>
      </c>
      <c r="T32" t="s">
        <v>206</v>
      </c>
      <c r="U32">
        <v>2030</v>
      </c>
    </row>
    <row r="33" spans="2:22" x14ac:dyDescent="0.35">
      <c r="F33" s="12"/>
      <c r="J33" s="13"/>
      <c r="K33" s="12"/>
    </row>
    <row r="34" spans="2:22" x14ac:dyDescent="0.35">
      <c r="F34" s="12"/>
      <c r="J34" s="13"/>
      <c r="K34" s="12"/>
    </row>
    <row r="35" spans="2:22" x14ac:dyDescent="0.35">
      <c r="F35" s="12"/>
      <c r="J35" s="13"/>
      <c r="K35" s="12"/>
    </row>
    <row r="36" spans="2:22" x14ac:dyDescent="0.35">
      <c r="F36" s="12"/>
      <c r="J36" s="13"/>
      <c r="K36" s="12"/>
    </row>
    <row r="37" spans="2:22" x14ac:dyDescent="0.35">
      <c r="F37" s="12"/>
      <c r="J37" s="13"/>
      <c r="K37" s="12"/>
    </row>
    <row r="38" spans="2:22" x14ac:dyDescent="0.35">
      <c r="F38" s="12"/>
      <c r="J38" s="13"/>
      <c r="K38" s="12"/>
      <c r="V38" s="6" t="s">
        <v>134</v>
      </c>
    </row>
    <row r="39" spans="2:22" x14ac:dyDescent="0.35">
      <c r="B39" s="12"/>
      <c r="C39" s="12"/>
      <c r="D39" s="12"/>
      <c r="E39" s="12"/>
      <c r="F39" s="12"/>
      <c r="G39" s="12"/>
      <c r="H39" s="12"/>
      <c r="I39" s="12"/>
      <c r="J39" s="17"/>
      <c r="K39" s="12"/>
      <c r="L39" s="12"/>
      <c r="N39" s="12"/>
      <c r="O39" s="11"/>
      <c r="S39" s="12"/>
      <c r="T39" s="12"/>
      <c r="U39" s="12"/>
      <c r="V39" s="6" t="s">
        <v>135</v>
      </c>
    </row>
    <row r="40" spans="2:22" x14ac:dyDescent="0.35">
      <c r="B40" s="12"/>
      <c r="C40" s="12"/>
      <c r="D40" s="12"/>
      <c r="E40" s="12"/>
      <c r="F40" s="12"/>
      <c r="G40" s="12"/>
      <c r="H40" s="12"/>
      <c r="I40" s="12"/>
      <c r="J40" s="17"/>
      <c r="K40" s="12"/>
      <c r="L40" s="12"/>
      <c r="N40" s="12"/>
      <c r="O40" s="11"/>
      <c r="S40" s="12"/>
      <c r="T40" s="12"/>
      <c r="U40" s="12"/>
    </row>
    <row r="41" spans="2:22" x14ac:dyDescent="0.35">
      <c r="B41" s="12"/>
      <c r="C41" s="12"/>
      <c r="D41" s="12"/>
      <c r="E41" s="12"/>
      <c r="F41" s="12"/>
      <c r="G41" s="12"/>
      <c r="H41" s="12"/>
      <c r="I41" s="12"/>
      <c r="J41" s="17"/>
      <c r="K41" s="12"/>
      <c r="L41" s="12"/>
      <c r="N41" s="12"/>
      <c r="O41" s="11"/>
      <c r="S41" s="12"/>
      <c r="T41" s="12"/>
      <c r="U41" s="12"/>
    </row>
    <row r="42" spans="2:22" x14ac:dyDescent="0.35">
      <c r="B42" s="12"/>
      <c r="C42" s="12"/>
      <c r="D42" s="12"/>
      <c r="E42" s="12"/>
      <c r="F42" s="12"/>
      <c r="G42" s="12"/>
      <c r="H42" s="12"/>
      <c r="I42" s="12"/>
      <c r="J42" s="17"/>
      <c r="K42" s="12"/>
      <c r="L42" s="12"/>
      <c r="N42" s="12"/>
      <c r="O42" s="11"/>
      <c r="S42" s="12"/>
      <c r="T42" s="12"/>
      <c r="U42" s="12"/>
    </row>
    <row r="43" spans="2:22" x14ac:dyDescent="0.35">
      <c r="B43" s="12"/>
      <c r="C43" s="12"/>
      <c r="D43" s="12"/>
      <c r="E43" s="12"/>
      <c r="F43" s="12"/>
      <c r="G43" s="12"/>
      <c r="H43" s="12"/>
      <c r="I43" s="12"/>
      <c r="J43" s="17"/>
      <c r="K43" s="12"/>
      <c r="L43" s="12"/>
      <c r="N43" s="12"/>
      <c r="O43" s="11"/>
      <c r="S43" s="12"/>
      <c r="T43" s="12"/>
      <c r="U43" s="12"/>
    </row>
    <row r="44" spans="2:22" x14ac:dyDescent="0.35">
      <c r="B44" s="12"/>
      <c r="C44" s="12"/>
      <c r="D44" s="12"/>
      <c r="E44" s="12"/>
      <c r="F44" s="12"/>
      <c r="G44" s="12"/>
      <c r="H44" s="12"/>
      <c r="I44" s="12"/>
      <c r="J44" s="17"/>
      <c r="K44" s="12"/>
      <c r="L44" s="12"/>
      <c r="N44" s="12"/>
      <c r="O44" s="11"/>
      <c r="S44" s="12"/>
      <c r="T44" s="12"/>
      <c r="U44" s="12"/>
    </row>
    <row r="45" spans="2:22" x14ac:dyDescent="0.35">
      <c r="B45" s="12"/>
      <c r="C45" s="12"/>
      <c r="D45" s="12"/>
      <c r="E45" s="12"/>
      <c r="F45" s="12"/>
      <c r="G45" s="12"/>
      <c r="H45" s="12"/>
      <c r="I45" s="12"/>
      <c r="J45" s="17"/>
      <c r="K45" s="12"/>
      <c r="L45" s="12"/>
      <c r="N45" s="12"/>
      <c r="O45" s="11"/>
      <c r="S45" s="12"/>
      <c r="T45" s="12"/>
      <c r="U45" s="12"/>
    </row>
    <row r="46" spans="2:22" x14ac:dyDescent="0.35">
      <c r="B46" s="12"/>
      <c r="C46" s="12"/>
      <c r="D46" s="12"/>
      <c r="E46" s="12"/>
      <c r="F46" s="12"/>
      <c r="G46" s="12"/>
      <c r="H46" s="12"/>
      <c r="I46" s="12"/>
      <c r="J46" s="17"/>
      <c r="K46" s="12"/>
      <c r="L46" s="12"/>
      <c r="N46" s="12"/>
      <c r="O46" s="11"/>
      <c r="S46" s="12"/>
      <c r="T46" s="12"/>
      <c r="U46" s="12"/>
    </row>
    <row r="47" spans="2:22" x14ac:dyDescent="0.35">
      <c r="B47" s="12"/>
      <c r="C47" s="12"/>
      <c r="D47" s="12"/>
      <c r="E47" s="12"/>
      <c r="F47" s="12"/>
      <c r="G47" s="12"/>
      <c r="H47" s="12"/>
      <c r="I47" s="12"/>
      <c r="J47" s="17"/>
      <c r="K47" s="12"/>
      <c r="L47" s="12"/>
      <c r="N47" s="12"/>
      <c r="O47" s="11"/>
      <c r="S47" s="12"/>
      <c r="T47" s="12"/>
      <c r="U47" s="12"/>
    </row>
    <row r="48" spans="2:22" x14ac:dyDescent="0.35">
      <c r="B48" s="12"/>
      <c r="C48" s="12"/>
      <c r="D48" s="12"/>
      <c r="E48" s="12"/>
      <c r="F48" s="12"/>
      <c r="G48" s="12"/>
      <c r="H48" s="12"/>
      <c r="I48" s="12"/>
      <c r="J48" s="17"/>
      <c r="K48" s="12"/>
      <c r="L48" s="12"/>
      <c r="N48" s="12"/>
      <c r="O48" s="11"/>
      <c r="S48" s="12"/>
      <c r="T48" s="12"/>
      <c r="U48" s="12"/>
    </row>
    <row r="49" spans="2:21" x14ac:dyDescent="0.35">
      <c r="B49" s="12"/>
      <c r="C49" s="12"/>
      <c r="D49" s="12"/>
      <c r="E49" s="12"/>
      <c r="F49" s="12"/>
      <c r="G49" s="12"/>
      <c r="H49" s="12"/>
      <c r="I49" s="12"/>
      <c r="J49" s="17"/>
      <c r="K49" s="12"/>
      <c r="L49" s="12"/>
      <c r="N49" s="12"/>
      <c r="O49" s="11"/>
      <c r="S49" s="12"/>
      <c r="T49" s="12"/>
      <c r="U49" s="12"/>
    </row>
    <row r="50" spans="2:21" x14ac:dyDescent="0.35">
      <c r="B50" s="12"/>
      <c r="C50" s="12"/>
      <c r="D50" s="12"/>
      <c r="E50" s="12"/>
      <c r="F50" s="12"/>
      <c r="G50" s="12"/>
      <c r="H50" s="12"/>
      <c r="I50" s="12"/>
      <c r="J50" s="17"/>
      <c r="K50" s="12"/>
      <c r="L50" s="12"/>
      <c r="N50" s="12"/>
      <c r="O50" s="11"/>
      <c r="S50" s="12"/>
      <c r="T50" s="12"/>
      <c r="U50" s="12"/>
    </row>
    <row r="51" spans="2:21" x14ac:dyDescent="0.35">
      <c r="B51" s="12"/>
      <c r="C51" s="12"/>
      <c r="D51" s="12"/>
      <c r="E51" s="12"/>
      <c r="F51" s="12"/>
      <c r="G51" s="12"/>
      <c r="H51" s="12"/>
      <c r="I51" s="12"/>
      <c r="J51" s="17"/>
      <c r="K51" s="12"/>
      <c r="L51" s="12"/>
      <c r="N51" s="12"/>
      <c r="O51" s="11"/>
      <c r="S51" s="12"/>
      <c r="T51" s="12"/>
      <c r="U51" s="12"/>
    </row>
    <row r="52" spans="2:21" x14ac:dyDescent="0.35">
      <c r="B52" s="12"/>
      <c r="C52" s="12"/>
      <c r="D52" s="12"/>
      <c r="E52" s="12"/>
      <c r="F52" s="12"/>
      <c r="G52" s="12"/>
      <c r="H52" s="12"/>
      <c r="I52" s="12"/>
      <c r="J52" s="17"/>
      <c r="K52" s="12"/>
      <c r="L52" s="12"/>
      <c r="N52" s="12"/>
      <c r="O52" s="11"/>
      <c r="S52" s="12"/>
      <c r="T52" s="12"/>
      <c r="U52" s="12"/>
    </row>
    <row r="53" spans="2:21" x14ac:dyDescent="0.35">
      <c r="B53" s="12"/>
      <c r="C53" s="12"/>
      <c r="D53" s="12"/>
      <c r="E53" s="12"/>
      <c r="F53" s="12"/>
      <c r="G53" s="12"/>
      <c r="H53" s="12"/>
      <c r="I53" s="12"/>
      <c r="J53" s="17"/>
      <c r="K53" s="12"/>
      <c r="L53" s="12"/>
      <c r="N53" s="12"/>
      <c r="O53" s="11"/>
      <c r="S53" s="12"/>
      <c r="T53" s="12"/>
      <c r="U53" s="12"/>
    </row>
    <row r="54" spans="2:21" x14ac:dyDescent="0.35">
      <c r="B54" s="12"/>
      <c r="C54" s="12"/>
      <c r="D54" s="12"/>
      <c r="E54" s="12"/>
      <c r="F54" s="12"/>
      <c r="G54" s="12"/>
      <c r="H54" s="12"/>
      <c r="I54" s="12"/>
      <c r="J54" s="17"/>
      <c r="K54" s="12"/>
      <c r="L54" s="12"/>
      <c r="N54" s="12"/>
      <c r="O54" s="11"/>
      <c r="S54" s="12"/>
      <c r="T54" s="12"/>
      <c r="U54" s="12"/>
    </row>
    <row r="55" spans="2:21" x14ac:dyDescent="0.35">
      <c r="B55" s="12"/>
      <c r="C55" s="12"/>
      <c r="D55" s="12"/>
      <c r="E55" s="12"/>
      <c r="F55" s="12"/>
      <c r="G55" s="12"/>
      <c r="H55" s="12"/>
      <c r="I55" s="12"/>
      <c r="J55" s="17"/>
      <c r="K55" s="12"/>
      <c r="L55" s="12"/>
      <c r="N55" s="12"/>
      <c r="O55" s="11"/>
      <c r="S55" s="12"/>
      <c r="T55" s="12"/>
      <c r="U55" s="12"/>
    </row>
    <row r="56" spans="2:21" x14ac:dyDescent="0.35">
      <c r="B56" s="12"/>
      <c r="C56" s="12"/>
      <c r="D56" s="12"/>
      <c r="E56" s="12"/>
      <c r="F56" s="12"/>
      <c r="G56" s="12"/>
      <c r="H56" s="12"/>
      <c r="I56" s="12"/>
      <c r="J56" s="17"/>
      <c r="K56" s="12"/>
      <c r="L56" s="12"/>
      <c r="N56" s="12"/>
      <c r="O56" s="11"/>
      <c r="S56" s="12"/>
      <c r="T56" s="12"/>
      <c r="U56" s="12"/>
    </row>
    <row r="57" spans="2:21" x14ac:dyDescent="0.35">
      <c r="B57" s="12"/>
      <c r="C57" s="12"/>
      <c r="D57" s="12"/>
      <c r="E57" s="12"/>
      <c r="F57" s="12"/>
      <c r="G57" s="12"/>
      <c r="H57" s="12"/>
      <c r="I57" s="12"/>
      <c r="J57" s="17"/>
      <c r="K57" s="12"/>
      <c r="L57" s="12"/>
      <c r="N57" s="12"/>
      <c r="O57" s="11"/>
      <c r="S57" s="12"/>
      <c r="T57" s="12"/>
      <c r="U57" s="12"/>
    </row>
    <row r="58" spans="2:21" x14ac:dyDescent="0.35">
      <c r="B58" s="12"/>
      <c r="C58" s="12"/>
      <c r="D58" s="12"/>
      <c r="E58" s="12"/>
      <c r="F58" s="12"/>
      <c r="G58" s="12"/>
      <c r="H58" s="12"/>
      <c r="I58" s="12"/>
      <c r="J58" s="17"/>
      <c r="K58" s="12"/>
      <c r="L58" s="12"/>
      <c r="N58" s="12"/>
      <c r="O58" s="11"/>
      <c r="S58" s="12"/>
      <c r="T58" s="12"/>
      <c r="U58" s="12"/>
    </row>
    <row r="59" spans="2:21" x14ac:dyDescent="0.35">
      <c r="B59" s="12"/>
      <c r="C59" s="12"/>
      <c r="D59" s="12"/>
      <c r="E59" s="12"/>
      <c r="F59" s="12"/>
      <c r="G59" s="12"/>
      <c r="H59" s="12"/>
      <c r="I59" s="12"/>
      <c r="J59" s="17"/>
      <c r="K59" s="12"/>
      <c r="L59" s="12"/>
      <c r="N59" s="12"/>
      <c r="O59" s="11"/>
      <c r="S59" s="12"/>
      <c r="T59" s="12"/>
      <c r="U59" s="12"/>
    </row>
    <row r="60" spans="2:21" x14ac:dyDescent="0.35">
      <c r="B60" s="12"/>
      <c r="C60" s="12"/>
      <c r="D60" s="12"/>
      <c r="E60" s="12"/>
      <c r="F60" s="12"/>
      <c r="G60" s="12"/>
      <c r="H60" s="12"/>
      <c r="I60" s="12"/>
      <c r="J60" s="17"/>
      <c r="K60" s="12"/>
      <c r="L60" s="12"/>
      <c r="N60" s="12"/>
      <c r="O60" s="11"/>
      <c r="S60" s="12"/>
      <c r="T60" s="12"/>
      <c r="U60" s="12"/>
    </row>
    <row r="61" spans="2:21" x14ac:dyDescent="0.35">
      <c r="B61" s="12"/>
      <c r="C61" s="12"/>
      <c r="D61" s="12"/>
      <c r="E61" s="12"/>
      <c r="F61" s="12"/>
      <c r="G61" s="12"/>
      <c r="H61" s="12"/>
      <c r="I61" s="12"/>
      <c r="J61" s="17"/>
      <c r="K61" s="12"/>
      <c r="L61" s="12"/>
      <c r="N61" s="12"/>
      <c r="O61" s="11"/>
      <c r="S61" s="12"/>
      <c r="T61" s="12"/>
      <c r="U61" s="12"/>
    </row>
    <row r="62" spans="2:21" x14ac:dyDescent="0.35">
      <c r="B62" s="12"/>
      <c r="C62" s="12"/>
      <c r="D62" s="12"/>
      <c r="E62" s="12"/>
      <c r="F62" s="12"/>
      <c r="G62" s="12"/>
      <c r="H62" s="12"/>
      <c r="I62" s="12"/>
      <c r="J62" s="17"/>
      <c r="K62" s="12"/>
      <c r="L62" s="12"/>
      <c r="N62" s="12"/>
      <c r="O62" s="11"/>
      <c r="S62" s="12"/>
      <c r="T62" s="12"/>
      <c r="U62" s="12"/>
    </row>
    <row r="63" spans="2:21" x14ac:dyDescent="0.35">
      <c r="B63" s="12"/>
      <c r="C63" s="12"/>
      <c r="D63" s="12"/>
      <c r="E63" s="12"/>
      <c r="F63" s="12"/>
      <c r="G63" s="12"/>
      <c r="H63" s="12"/>
      <c r="I63" s="12"/>
      <c r="J63" s="18"/>
      <c r="K63" s="12"/>
      <c r="L63" s="12"/>
      <c r="N63" s="12"/>
      <c r="O63" s="11"/>
      <c r="S63" s="12"/>
      <c r="T63" s="12"/>
      <c r="U63" s="12"/>
    </row>
    <row r="64" spans="2:21" x14ac:dyDescent="0.35">
      <c r="B64" s="12"/>
      <c r="C64" s="12"/>
      <c r="D64" s="12"/>
      <c r="E64" s="12"/>
      <c r="F64" s="12"/>
      <c r="G64" s="12"/>
      <c r="H64" s="12"/>
      <c r="I64" s="12"/>
      <c r="J64" s="18"/>
      <c r="K64" s="12"/>
      <c r="L64" s="12"/>
      <c r="N64" s="12"/>
      <c r="O64" s="11"/>
      <c r="S64" s="12"/>
      <c r="T64" s="12"/>
      <c r="U64" s="12"/>
    </row>
    <row r="65" spans="2:13" x14ac:dyDescent="0.35">
      <c r="F65" s="12"/>
      <c r="J65" s="16"/>
      <c r="K65" s="12"/>
    </row>
    <row r="66" spans="2:13" x14ac:dyDescent="0.35">
      <c r="F66" s="12"/>
      <c r="J66" s="16"/>
      <c r="K66" s="12"/>
    </row>
    <row r="67" spans="2:13" x14ac:dyDescent="0.35">
      <c r="F67" s="12"/>
      <c r="J67" s="16"/>
      <c r="K67" s="12"/>
    </row>
    <row r="68" spans="2:13" x14ac:dyDescent="0.35">
      <c r="F68" s="12"/>
      <c r="J68" s="16"/>
      <c r="K68" s="12"/>
    </row>
    <row r="69" spans="2:13" x14ac:dyDescent="0.35">
      <c r="F69" s="12"/>
      <c r="J69" s="16"/>
      <c r="K69" s="12"/>
    </row>
    <row r="70" spans="2:13" x14ac:dyDescent="0.35">
      <c r="F70" s="12"/>
      <c r="J70" s="16"/>
      <c r="K70" s="12"/>
    </row>
    <row r="71" spans="2:13" x14ac:dyDescent="0.35">
      <c r="I71" t="s">
        <v>79</v>
      </c>
    </row>
    <row r="72" spans="2:13" x14ac:dyDescent="0.35">
      <c r="I72" s="6" t="s">
        <v>80</v>
      </c>
    </row>
    <row r="73" spans="2:13" x14ac:dyDescent="0.35">
      <c r="D73" s="1" t="s">
        <v>42</v>
      </c>
      <c r="E73" s="2" t="s">
        <v>82</v>
      </c>
      <c r="I73" t="s">
        <v>81</v>
      </c>
    </row>
    <row r="74" spans="2:13" x14ac:dyDescent="0.35">
      <c r="B74" s="7" t="s">
        <v>4</v>
      </c>
      <c r="C74" s="9" t="s">
        <v>31</v>
      </c>
      <c r="D74" s="7" t="s">
        <v>6</v>
      </c>
      <c r="E74" s="9" t="s">
        <v>83</v>
      </c>
      <c r="F74" s="7" t="s">
        <v>84</v>
      </c>
      <c r="G74" s="10" t="s">
        <v>41</v>
      </c>
      <c r="H74" s="8" t="s">
        <v>124</v>
      </c>
      <c r="I74" t="s">
        <v>95</v>
      </c>
    </row>
    <row r="75" spans="2:13" x14ac:dyDescent="0.35">
      <c r="B75" t="s">
        <v>12</v>
      </c>
      <c r="C75" t="s">
        <v>10</v>
      </c>
      <c r="D75" t="s">
        <v>11</v>
      </c>
      <c r="E75">
        <v>300</v>
      </c>
      <c r="F75">
        <v>300</v>
      </c>
      <c r="G75" s="4">
        <v>2250000</v>
      </c>
      <c r="H75" s="5">
        <f>(Table1[[#This Row],[Investment cost '[USD2020/MWe']]]*Table1[[#This Row],[Gross Capacity (MWe)]])/Table1[[#This Row],[Net Capacity (Mwe)]]*1.15</f>
        <v>2587500</v>
      </c>
    </row>
    <row r="76" spans="2:13" x14ac:dyDescent="0.35">
      <c r="B76" t="s">
        <v>54</v>
      </c>
      <c r="C76" t="s">
        <v>14</v>
      </c>
      <c r="D76" t="s">
        <v>13</v>
      </c>
      <c r="E76">
        <v>470</v>
      </c>
      <c r="F76">
        <v>443</v>
      </c>
      <c r="G76" s="4">
        <v>5215937</v>
      </c>
      <c r="H76" s="5">
        <f>(Table1[[#This Row],[Investment cost '[USD2020/MWe']]]*Table1[[#This Row],[Gross Capacity (MWe)]])/Table1[[#This Row],[Net Capacity (Mwe)]]*1.15</f>
        <v>6363914.1049661394</v>
      </c>
      <c r="J76" s="35">
        <v>2250</v>
      </c>
      <c r="K76" s="39">
        <v>144365</v>
      </c>
      <c r="L76" s="41">
        <v>6.23</v>
      </c>
      <c r="M76" t="s">
        <v>218</v>
      </c>
    </row>
    <row r="77" spans="2:13" x14ac:dyDescent="0.35">
      <c r="B77" t="s">
        <v>45</v>
      </c>
      <c r="C77" t="s">
        <v>15</v>
      </c>
      <c r="D77" t="s">
        <v>13</v>
      </c>
      <c r="E77">
        <v>160</v>
      </c>
      <c r="F77">
        <v>160</v>
      </c>
      <c r="G77" s="4">
        <v>6312500</v>
      </c>
      <c r="H77" s="5">
        <f>(Table1[[#This Row],[Investment cost '[USD2020/MWe']]]*Table1[[#This Row],[Gross Capacity (MWe)]])/Table1[[#This Row],[Net Capacity (Mwe)]]*1.15</f>
        <v>7259374.9999999991</v>
      </c>
      <c r="J77" s="31">
        <v>5215.9369999999999</v>
      </c>
      <c r="K77" s="31">
        <v>518242</v>
      </c>
      <c r="L77" s="26">
        <v>6.23</v>
      </c>
      <c r="M77">
        <v>1.22</v>
      </c>
    </row>
    <row r="78" spans="2:13" x14ac:dyDescent="0.35">
      <c r="B78" t="s">
        <v>86</v>
      </c>
      <c r="C78" t="s">
        <v>16</v>
      </c>
      <c r="D78" t="s">
        <v>13</v>
      </c>
      <c r="E78">
        <v>100</v>
      </c>
      <c r="F78">
        <v>107</v>
      </c>
      <c r="G78" s="4">
        <v>10186916</v>
      </c>
      <c r="H78" s="5">
        <f>(Table1[[#This Row],[Investment cost '[USD2020/MWe']]]*Table1[[#This Row],[Gross Capacity (MWe)]])/Table1[[#This Row],[Net Capacity (Mwe)]]*1.15</f>
        <v>10948554.579439251</v>
      </c>
      <c r="J78" s="35">
        <v>6312.5</v>
      </c>
      <c r="K78" s="35">
        <v>146645</v>
      </c>
      <c r="L78" s="23">
        <v>6.23</v>
      </c>
      <c r="M78" t="s">
        <v>219</v>
      </c>
    </row>
    <row r="79" spans="2:13" ht="23" x14ac:dyDescent="0.45">
      <c r="B79" t="s">
        <v>45</v>
      </c>
      <c r="C79" t="s">
        <v>17</v>
      </c>
      <c r="D79" t="s">
        <v>13</v>
      </c>
      <c r="E79">
        <v>77</v>
      </c>
      <c r="F79">
        <v>77</v>
      </c>
      <c r="G79" s="4">
        <v>3466000</v>
      </c>
      <c r="H79" s="5">
        <f>(Table1[[#This Row],[Investment cost '[USD2020/MWe']]]*Table1[[#This Row],[Gross Capacity (MWe)]])/Table1[[#This Row],[Net Capacity (Mwe)]]*1.15</f>
        <v>3985899.9999999995</v>
      </c>
      <c r="J79" s="31">
        <v>8000</v>
      </c>
      <c r="K79" s="31">
        <v>65025</v>
      </c>
      <c r="L79" s="26">
        <v>5.31</v>
      </c>
      <c r="M79" s="42">
        <v>0.85719999999999996</v>
      </c>
    </row>
    <row r="80" spans="2:13" x14ac:dyDescent="0.35">
      <c r="B80" t="s">
        <v>70</v>
      </c>
      <c r="C80" t="s">
        <v>32</v>
      </c>
      <c r="D80" t="s">
        <v>13</v>
      </c>
      <c r="E80">
        <v>50</v>
      </c>
      <c r="F80">
        <v>55</v>
      </c>
      <c r="G80" s="4">
        <v>4212000</v>
      </c>
      <c r="H80" s="5">
        <f>(Table1[[#This Row],[Investment cost '[USD2020/MWe']]]*Table1[[#This Row],[Gross Capacity (MWe)]])/Table1[[#This Row],[Net Capacity (Mwe)]]*1.15</f>
        <v>4403454.5454545449</v>
      </c>
      <c r="J80" s="35">
        <v>3600</v>
      </c>
      <c r="K80" s="35">
        <v>179595</v>
      </c>
      <c r="L80" s="23">
        <v>7.15</v>
      </c>
    </row>
    <row r="81" spans="2:12" x14ac:dyDescent="0.35">
      <c r="B81" t="s">
        <v>85</v>
      </c>
      <c r="C81" t="s">
        <v>33</v>
      </c>
      <c r="D81" t="s">
        <v>13</v>
      </c>
      <c r="E81">
        <v>50</v>
      </c>
      <c r="F81">
        <v>40</v>
      </c>
      <c r="G81" s="4">
        <v>8532000</v>
      </c>
      <c r="H81" s="5">
        <f>(Table1[[#This Row],[Investment cost '[USD2020/MWe']]]*Table1[[#This Row],[Gross Capacity (MWe)]])/Table1[[#This Row],[Net Capacity (Mwe)]]*1.15</f>
        <v>12264749.999999998</v>
      </c>
      <c r="J81" s="31">
        <v>4212</v>
      </c>
      <c r="K81" s="31">
        <v>170980</v>
      </c>
      <c r="L81" s="26">
        <v>6.23</v>
      </c>
    </row>
    <row r="82" spans="2:12" x14ac:dyDescent="0.35">
      <c r="B82" t="s">
        <v>70</v>
      </c>
      <c r="C82" t="s">
        <v>18</v>
      </c>
      <c r="D82" t="s">
        <v>13</v>
      </c>
      <c r="E82">
        <v>35</v>
      </c>
      <c r="F82">
        <v>32</v>
      </c>
      <c r="G82" s="4">
        <v>13531429</v>
      </c>
      <c r="H82" s="5">
        <f>(Table1[[#This Row],[Investment cost '[USD2020/MWe']]]*Table1[[#This Row],[Gross Capacity (MWe)]])/Table1[[#This Row],[Net Capacity (Mwe)]]*1.15</f>
        <v>17020000.5390625</v>
      </c>
      <c r="J82" s="35">
        <v>8532</v>
      </c>
      <c r="K82" s="35">
        <v>146645</v>
      </c>
      <c r="L82" s="23">
        <v>6.23</v>
      </c>
    </row>
    <row r="83" spans="2:12" x14ac:dyDescent="0.35">
      <c r="B83" t="s">
        <v>87</v>
      </c>
      <c r="C83" t="s">
        <v>19</v>
      </c>
      <c r="D83" t="s">
        <v>13</v>
      </c>
      <c r="E83">
        <v>29</v>
      </c>
      <c r="F83">
        <v>25</v>
      </c>
      <c r="G83" s="4">
        <v>23187500</v>
      </c>
      <c r="H83" s="5">
        <f>(Table1[[#This Row],[Investment cost '[USD2020/MWe']]]*Table1[[#This Row],[Gross Capacity (MWe)]])/Table1[[#This Row],[Net Capacity (Mwe)]]*1.15</f>
        <v>30932124.999999996</v>
      </c>
      <c r="J83" s="31">
        <v>13531.429</v>
      </c>
      <c r="K83" s="31">
        <v>170980</v>
      </c>
      <c r="L83" s="26">
        <v>6.23</v>
      </c>
    </row>
    <row r="84" spans="2:12" x14ac:dyDescent="0.35">
      <c r="B84" t="s">
        <v>45</v>
      </c>
      <c r="C84" t="s">
        <v>20</v>
      </c>
      <c r="D84" t="s">
        <v>34</v>
      </c>
      <c r="E84">
        <v>285</v>
      </c>
      <c r="F84">
        <v>265</v>
      </c>
      <c r="G84" s="4">
        <v>4373300</v>
      </c>
      <c r="H84" s="5">
        <f>(Table1[[#This Row],[Investment cost '[USD2020/MWe']]]*Table1[[#This Row],[Gross Capacity (MWe)]])/Table1[[#This Row],[Net Capacity (Mwe)]]*1.15</f>
        <v>5408864.4339622641</v>
      </c>
      <c r="J84" s="35">
        <v>23187.5</v>
      </c>
      <c r="K84" s="35">
        <v>146645</v>
      </c>
      <c r="L84" s="23">
        <v>6.23</v>
      </c>
    </row>
    <row r="85" spans="2:12" x14ac:dyDescent="0.35">
      <c r="B85" t="s">
        <v>85</v>
      </c>
      <c r="C85" t="s">
        <v>21</v>
      </c>
      <c r="D85" t="s">
        <v>35</v>
      </c>
      <c r="E85">
        <v>210</v>
      </c>
      <c r="F85">
        <v>200</v>
      </c>
      <c r="G85" s="4">
        <v>5400000</v>
      </c>
      <c r="H85" s="5">
        <f>(Table1[[#This Row],[Investment cost '[USD2020/MWe']]]*Table1[[#This Row],[Gross Capacity (MWe)]])/Table1[[#This Row],[Net Capacity (Mwe)]]*1.15</f>
        <v>6520499.9999999991</v>
      </c>
      <c r="J85" s="31">
        <v>4373.3</v>
      </c>
      <c r="K85" s="31">
        <v>104340</v>
      </c>
      <c r="L85" s="26">
        <v>19.29</v>
      </c>
    </row>
    <row r="86" spans="2:12" x14ac:dyDescent="0.35">
      <c r="B86" t="s">
        <v>89</v>
      </c>
      <c r="C86" t="s">
        <v>22</v>
      </c>
      <c r="D86" t="s">
        <v>36</v>
      </c>
      <c r="E86">
        <v>200</v>
      </c>
      <c r="F86">
        <v>165</v>
      </c>
      <c r="G86" s="4">
        <v>1550000</v>
      </c>
      <c r="H86" s="5">
        <f>(Table1[[#This Row],[Investment cost '[USD2020/MWe']]]*Table1[[#This Row],[Gross Capacity (MWe)]])/Table1[[#This Row],[Net Capacity (Mwe)]]*1.15</f>
        <v>2160606.0606060605</v>
      </c>
      <c r="J86" s="35">
        <v>3270</v>
      </c>
      <c r="K86" s="35">
        <v>168920</v>
      </c>
      <c r="L86" s="23">
        <v>13.96</v>
      </c>
    </row>
    <row r="87" spans="2:12" x14ac:dyDescent="0.35">
      <c r="B87" t="s">
        <v>90</v>
      </c>
      <c r="C87" t="s">
        <v>23</v>
      </c>
      <c r="D87" t="s">
        <v>37</v>
      </c>
      <c r="E87">
        <v>100</v>
      </c>
      <c r="F87">
        <v>100</v>
      </c>
      <c r="G87" s="4">
        <v>5050000</v>
      </c>
      <c r="H87" s="5">
        <f>(Table1[[#This Row],[Investment cost '[USD2020/MWe']]]*Table1[[#This Row],[Gross Capacity (MWe)]])/Table1[[#This Row],[Net Capacity (Mwe)]]*1.15</f>
        <v>5807500</v>
      </c>
      <c r="J87" s="31">
        <v>1734.3</v>
      </c>
      <c r="K87" s="40">
        <v>136630</v>
      </c>
      <c r="L87" s="26">
        <v>8.6300000000000008</v>
      </c>
    </row>
    <row r="88" spans="2:12" x14ac:dyDescent="0.35">
      <c r="B88" t="s">
        <v>93</v>
      </c>
      <c r="C88" t="s">
        <v>24</v>
      </c>
      <c r="D88" t="s">
        <v>37</v>
      </c>
      <c r="E88">
        <v>20</v>
      </c>
      <c r="F88">
        <v>20</v>
      </c>
      <c r="G88" s="4">
        <v>23034536</v>
      </c>
      <c r="H88" s="5">
        <f>(Table1[[#This Row],[Investment cost '[USD2020/MWe']]]*Table1[[#This Row],[Gross Capacity (MWe)]])/Table1[[#This Row],[Net Capacity (Mwe)]]*1.15</f>
        <v>26489716.399999999</v>
      </c>
      <c r="J88" s="35">
        <v>5050</v>
      </c>
      <c r="K88" s="35">
        <v>130750</v>
      </c>
      <c r="L88" s="23">
        <v>78.040000000000006</v>
      </c>
    </row>
    <row r="89" spans="2:12" x14ac:dyDescent="0.35">
      <c r="B89" t="s">
        <v>88</v>
      </c>
      <c r="C89" t="s">
        <v>25</v>
      </c>
      <c r="D89" t="s">
        <v>37</v>
      </c>
      <c r="E89">
        <v>10</v>
      </c>
      <c r="F89">
        <v>10</v>
      </c>
      <c r="G89" s="4">
        <v>2500000</v>
      </c>
      <c r="H89" s="5">
        <f>(Table1[[#This Row],[Investment cost '[USD2020/MWe']]]*Table1[[#This Row],[Gross Capacity (MWe)]])/Table1[[#This Row],[Net Capacity (Mwe)]]*1.15</f>
        <v>2875000</v>
      </c>
      <c r="J89" s="31">
        <v>19350</v>
      </c>
      <c r="K89" s="31">
        <v>130750</v>
      </c>
      <c r="L89" s="26">
        <v>113.05</v>
      </c>
    </row>
    <row r="90" spans="2:12" x14ac:dyDescent="0.35">
      <c r="B90" t="s">
        <v>91</v>
      </c>
      <c r="C90" t="s">
        <v>26</v>
      </c>
      <c r="D90" t="s">
        <v>38</v>
      </c>
      <c r="E90">
        <v>195</v>
      </c>
      <c r="F90">
        <v>195</v>
      </c>
      <c r="G90" s="4">
        <v>4054266</v>
      </c>
      <c r="H90" s="5">
        <f>(Table1[[#This Row],[Investment cost '[USD2020/MWe']]]*Table1[[#This Row],[Gross Capacity (MWe)]])/Table1[[#This Row],[Net Capacity (Mwe)]]*1.15</f>
        <v>4662405.8999999994</v>
      </c>
      <c r="J90" s="35">
        <v>6900</v>
      </c>
      <c r="K90" s="35">
        <v>130750</v>
      </c>
      <c r="L90" s="23">
        <v>23.86</v>
      </c>
    </row>
    <row r="91" spans="2:12" x14ac:dyDescent="0.35">
      <c r="B91" t="s">
        <v>54</v>
      </c>
      <c r="C91" t="s">
        <v>27</v>
      </c>
      <c r="D91" t="s">
        <v>39</v>
      </c>
      <c r="E91">
        <v>30</v>
      </c>
      <c r="F91">
        <v>30</v>
      </c>
      <c r="G91" s="4">
        <v>1950000</v>
      </c>
      <c r="H91" s="5">
        <f>(Table1[[#This Row],[Investment cost '[USD2020/MWe']]]*Table1[[#This Row],[Gross Capacity (MWe)]])/Table1[[#This Row],[Net Capacity (Mwe)]]*1.15</f>
        <v>2242500</v>
      </c>
      <c r="J91" s="31">
        <v>4054.2660000000001</v>
      </c>
      <c r="K91" s="31">
        <v>180512</v>
      </c>
      <c r="L91" s="26">
        <v>8.94</v>
      </c>
    </row>
    <row r="92" spans="2:12" x14ac:dyDescent="0.35">
      <c r="B92" t="s">
        <v>45</v>
      </c>
      <c r="C92" t="s">
        <v>28</v>
      </c>
      <c r="D92" t="s">
        <v>40</v>
      </c>
      <c r="E92">
        <v>5</v>
      </c>
      <c r="F92">
        <v>5</v>
      </c>
      <c r="G92" s="4">
        <v>5771429</v>
      </c>
      <c r="H92" s="5">
        <f>(Table1[[#This Row],[Investment cost '[USD2020/MWe']]]*Table1[[#This Row],[Gross Capacity (MWe)]])/Table1[[#This Row],[Net Capacity (Mwe)]]*1.15</f>
        <v>6637143.3499999996</v>
      </c>
      <c r="J92" s="35">
        <v>1950</v>
      </c>
      <c r="K92" s="35">
        <v>130750</v>
      </c>
      <c r="L92" s="23">
        <v>29.55</v>
      </c>
    </row>
    <row r="93" spans="2:12" x14ac:dyDescent="0.35">
      <c r="B93" t="s">
        <v>92</v>
      </c>
      <c r="C93" t="s">
        <v>29</v>
      </c>
      <c r="D93" t="s">
        <v>43</v>
      </c>
      <c r="E93">
        <v>300</v>
      </c>
      <c r="F93">
        <v>300</v>
      </c>
      <c r="G93" s="4">
        <v>4160000</v>
      </c>
      <c r="H93" s="5">
        <f>(Table1[[#This Row],[Investment cost '[USD2020/MWe']]]*Table1[[#This Row],[Gross Capacity (MWe)]])/Table1[[#This Row],[Net Capacity (Mwe)]]*1.15</f>
        <v>4784000</v>
      </c>
      <c r="J93" s="31">
        <v>5771.4290000000001</v>
      </c>
      <c r="K93" s="31">
        <v>130750</v>
      </c>
      <c r="L93" s="26">
        <v>29.55</v>
      </c>
    </row>
    <row r="94" spans="2:12" x14ac:dyDescent="0.35">
      <c r="J94" s="35">
        <v>4160</v>
      </c>
      <c r="K94" s="35">
        <v>130750</v>
      </c>
      <c r="L94" s="23">
        <v>29.55</v>
      </c>
    </row>
    <row r="96" spans="2:12" x14ac:dyDescent="0.35">
      <c r="D96" t="s">
        <v>30</v>
      </c>
      <c r="G96" s="3"/>
    </row>
    <row r="98" spans="3:9" x14ac:dyDescent="0.35">
      <c r="C98" t="s">
        <v>4</v>
      </c>
      <c r="D98" t="s">
        <v>5</v>
      </c>
      <c r="E98" t="s">
        <v>6</v>
      </c>
      <c r="F98" t="s">
        <v>44</v>
      </c>
      <c r="G98" t="s">
        <v>97</v>
      </c>
      <c r="H98" t="s">
        <v>94</v>
      </c>
      <c r="I98" t="s">
        <v>79</v>
      </c>
    </row>
    <row r="99" spans="3:9" x14ac:dyDescent="0.35">
      <c r="C99" t="s">
        <v>45</v>
      </c>
      <c r="D99" t="s">
        <v>46</v>
      </c>
      <c r="E99" t="s">
        <v>11</v>
      </c>
      <c r="F99">
        <v>935</v>
      </c>
      <c r="G99">
        <v>9723</v>
      </c>
      <c r="I99" s="6" t="s">
        <v>80</v>
      </c>
    </row>
    <row r="100" spans="3:9" x14ac:dyDescent="0.35">
      <c r="C100" t="s">
        <v>45</v>
      </c>
      <c r="D100" t="s">
        <v>47</v>
      </c>
      <c r="E100" t="s">
        <v>11</v>
      </c>
      <c r="F100">
        <v>1053</v>
      </c>
      <c r="G100">
        <v>10608</v>
      </c>
      <c r="I100" t="s">
        <v>81</v>
      </c>
    </row>
    <row r="101" spans="3:9" x14ac:dyDescent="0.35">
      <c r="C101" t="s">
        <v>45</v>
      </c>
      <c r="D101" t="s">
        <v>48</v>
      </c>
      <c r="E101" t="s">
        <v>11</v>
      </c>
      <c r="F101">
        <v>919</v>
      </c>
      <c r="G101">
        <v>8974</v>
      </c>
      <c r="I101" t="s">
        <v>96</v>
      </c>
    </row>
    <row r="102" spans="3:9" x14ac:dyDescent="0.35">
      <c r="C102" t="s">
        <v>49</v>
      </c>
      <c r="D102" t="s">
        <v>50</v>
      </c>
      <c r="E102" t="s">
        <v>51</v>
      </c>
      <c r="F102">
        <v>1600</v>
      </c>
      <c r="G102">
        <v>7983</v>
      </c>
      <c r="H102">
        <v>1</v>
      </c>
    </row>
    <row r="103" spans="3:9" x14ac:dyDescent="0.35">
      <c r="C103" t="s">
        <v>49</v>
      </c>
      <c r="D103" t="s">
        <v>50</v>
      </c>
      <c r="E103" t="s">
        <v>51</v>
      </c>
      <c r="F103">
        <v>1630</v>
      </c>
      <c r="G103">
        <v>5733</v>
      </c>
      <c r="H103">
        <v>2</v>
      </c>
    </row>
    <row r="104" spans="3:9" x14ac:dyDescent="0.35">
      <c r="C104" t="s">
        <v>52</v>
      </c>
      <c r="D104" t="s">
        <v>53</v>
      </c>
      <c r="E104" t="s">
        <v>51</v>
      </c>
      <c r="F104">
        <v>1600</v>
      </c>
      <c r="G104">
        <v>9270</v>
      </c>
      <c r="H104">
        <v>1</v>
      </c>
    </row>
    <row r="105" spans="3:9" x14ac:dyDescent="0.35">
      <c r="C105" t="s">
        <v>52</v>
      </c>
      <c r="D105" t="s">
        <v>53</v>
      </c>
      <c r="E105" t="s">
        <v>51</v>
      </c>
      <c r="F105">
        <v>1600</v>
      </c>
      <c r="G105">
        <v>8620</v>
      </c>
      <c r="H105">
        <v>2</v>
      </c>
    </row>
    <row r="106" spans="3:9" x14ac:dyDescent="0.35">
      <c r="C106" t="s">
        <v>54</v>
      </c>
      <c r="D106" t="s">
        <v>55</v>
      </c>
      <c r="E106" t="s">
        <v>56</v>
      </c>
      <c r="F106">
        <v>1630</v>
      </c>
      <c r="G106">
        <v>8549</v>
      </c>
    </row>
    <row r="107" spans="3:9" x14ac:dyDescent="0.35">
      <c r="C107" t="s">
        <v>54</v>
      </c>
      <c r="D107" t="s">
        <v>57</v>
      </c>
      <c r="E107" t="s">
        <v>56</v>
      </c>
      <c r="F107">
        <v>1630</v>
      </c>
      <c r="G107">
        <v>8549</v>
      </c>
      <c r="I107" t="s">
        <v>98</v>
      </c>
    </row>
    <row r="108" spans="3:9" x14ac:dyDescent="0.35">
      <c r="C108" t="s">
        <v>45</v>
      </c>
      <c r="D108" t="s">
        <v>58</v>
      </c>
      <c r="E108" t="s">
        <v>59</v>
      </c>
      <c r="F108">
        <v>1117</v>
      </c>
      <c r="G108">
        <v>11330</v>
      </c>
      <c r="H108">
        <v>1</v>
      </c>
    </row>
    <row r="109" spans="3:9" x14ac:dyDescent="0.35">
      <c r="C109" t="s">
        <v>45</v>
      </c>
      <c r="D109" t="s">
        <v>60</v>
      </c>
      <c r="E109" t="s">
        <v>59</v>
      </c>
      <c r="F109">
        <v>1117</v>
      </c>
      <c r="G109">
        <v>11330</v>
      </c>
      <c r="H109">
        <v>1</v>
      </c>
    </row>
    <row r="110" spans="3:9" x14ac:dyDescent="0.35">
      <c r="C110" t="s">
        <v>45</v>
      </c>
      <c r="D110" t="s">
        <v>58</v>
      </c>
      <c r="E110" t="s">
        <v>59</v>
      </c>
      <c r="F110">
        <v>1117</v>
      </c>
      <c r="G110">
        <v>8600</v>
      </c>
      <c r="H110">
        <v>2</v>
      </c>
    </row>
    <row r="111" spans="3:9" x14ac:dyDescent="0.35">
      <c r="C111" t="s">
        <v>45</v>
      </c>
      <c r="D111" t="s">
        <v>60</v>
      </c>
      <c r="E111" t="s">
        <v>59</v>
      </c>
      <c r="F111">
        <v>1117</v>
      </c>
      <c r="G111">
        <v>8600</v>
      </c>
      <c r="H111">
        <v>2</v>
      </c>
    </row>
    <row r="112" spans="3:9" x14ac:dyDescent="0.35">
      <c r="C112" t="s">
        <v>61</v>
      </c>
      <c r="D112" t="s">
        <v>62</v>
      </c>
      <c r="E112" t="s">
        <v>63</v>
      </c>
      <c r="F112">
        <v>1340</v>
      </c>
      <c r="G112">
        <v>2410</v>
      </c>
    </row>
    <row r="113" spans="3:8" x14ac:dyDescent="0.35">
      <c r="C113" t="s">
        <v>61</v>
      </c>
      <c r="D113" t="s">
        <v>64</v>
      </c>
      <c r="E113" t="s">
        <v>63</v>
      </c>
      <c r="F113">
        <v>1340</v>
      </c>
      <c r="G113">
        <v>2410</v>
      </c>
    </row>
    <row r="114" spans="3:8" x14ac:dyDescent="0.35">
      <c r="C114" t="s">
        <v>65</v>
      </c>
      <c r="D114" t="s">
        <v>66</v>
      </c>
      <c r="E114" t="s">
        <v>59</v>
      </c>
      <c r="F114">
        <v>1000</v>
      </c>
      <c r="G114">
        <v>3154</v>
      </c>
    </row>
    <row r="115" spans="3:8" x14ac:dyDescent="0.35">
      <c r="C115" t="s">
        <v>65</v>
      </c>
      <c r="D115" t="s">
        <v>67</v>
      </c>
      <c r="E115" t="s">
        <v>59</v>
      </c>
      <c r="F115">
        <v>1000</v>
      </c>
      <c r="G115">
        <v>3154</v>
      </c>
    </row>
    <row r="116" spans="3:8" x14ac:dyDescent="0.35">
      <c r="C116" t="s">
        <v>65</v>
      </c>
      <c r="D116" t="s">
        <v>68</v>
      </c>
      <c r="E116" t="s">
        <v>51</v>
      </c>
      <c r="F116">
        <v>1660</v>
      </c>
      <c r="G116">
        <v>3222</v>
      </c>
    </row>
    <row r="117" spans="3:8" x14ac:dyDescent="0.35">
      <c r="C117" t="s">
        <v>65</v>
      </c>
      <c r="D117" t="s">
        <v>69</v>
      </c>
      <c r="E117" t="s">
        <v>51</v>
      </c>
      <c r="F117">
        <v>1660</v>
      </c>
      <c r="G117">
        <v>3222</v>
      </c>
    </row>
    <row r="118" spans="3:8" x14ac:dyDescent="0.35">
      <c r="C118" t="s">
        <v>70</v>
      </c>
      <c r="D118" t="s">
        <v>71</v>
      </c>
      <c r="E118" t="s">
        <v>72</v>
      </c>
      <c r="F118">
        <v>1144</v>
      </c>
      <c r="G118">
        <v>2244</v>
      </c>
    </row>
    <row r="119" spans="3:8" x14ac:dyDescent="0.35">
      <c r="C119" t="s">
        <v>70</v>
      </c>
      <c r="D119" t="s">
        <v>73</v>
      </c>
      <c r="E119" t="s">
        <v>72</v>
      </c>
      <c r="F119">
        <v>1144</v>
      </c>
      <c r="G119">
        <v>2244</v>
      </c>
    </row>
    <row r="120" spans="3:8" x14ac:dyDescent="0.35">
      <c r="C120" t="s">
        <v>45</v>
      </c>
      <c r="D120" t="s">
        <v>74</v>
      </c>
      <c r="E120" t="s">
        <v>36</v>
      </c>
      <c r="F120">
        <v>200</v>
      </c>
      <c r="G120">
        <v>7195</v>
      </c>
      <c r="H120">
        <v>2</v>
      </c>
    </row>
    <row r="121" spans="3:8" x14ac:dyDescent="0.35">
      <c r="C121" t="s">
        <v>45</v>
      </c>
      <c r="D121" t="s">
        <v>74</v>
      </c>
      <c r="E121" t="s">
        <v>36</v>
      </c>
      <c r="F121">
        <v>200</v>
      </c>
      <c r="G121">
        <v>8108</v>
      </c>
      <c r="H121">
        <v>1</v>
      </c>
    </row>
    <row r="122" spans="3:8" x14ac:dyDescent="0.35">
      <c r="C122" t="s">
        <v>45</v>
      </c>
      <c r="D122" t="s">
        <v>75</v>
      </c>
      <c r="E122" t="s">
        <v>36</v>
      </c>
      <c r="F122">
        <v>46</v>
      </c>
      <c r="G122">
        <v>1197</v>
      </c>
    </row>
    <row r="123" spans="3:8" x14ac:dyDescent="0.35">
      <c r="C123" t="s">
        <v>70</v>
      </c>
      <c r="D123" t="s">
        <v>76</v>
      </c>
      <c r="E123" t="s">
        <v>77</v>
      </c>
      <c r="F123">
        <v>880</v>
      </c>
      <c r="G123">
        <v>2501</v>
      </c>
    </row>
    <row r="124" spans="3:8" x14ac:dyDescent="0.35">
      <c r="C124" t="s">
        <v>52</v>
      </c>
      <c r="D124" t="s">
        <v>78</v>
      </c>
      <c r="E124" t="s">
        <v>37</v>
      </c>
      <c r="F124">
        <v>1250</v>
      </c>
      <c r="G124">
        <v>27747</v>
      </c>
    </row>
    <row r="141" spans="6:7" x14ac:dyDescent="0.35">
      <c r="G141" t="s">
        <v>144</v>
      </c>
    </row>
    <row r="142" spans="6:7" x14ac:dyDescent="0.35">
      <c r="F142">
        <v>2250</v>
      </c>
      <c r="G142">
        <f>F142*1000</f>
        <v>2250000</v>
      </c>
    </row>
    <row r="143" spans="6:7" x14ac:dyDescent="0.35">
      <c r="F143">
        <v>5215.9369999999999</v>
      </c>
      <c r="G143">
        <f t="shared" ref="G143:G159" si="3">F143*1000</f>
        <v>5215937</v>
      </c>
    </row>
    <row r="144" spans="6:7" x14ac:dyDescent="0.35">
      <c r="F144">
        <v>6312.5</v>
      </c>
      <c r="G144">
        <f t="shared" si="3"/>
        <v>6312500</v>
      </c>
    </row>
    <row r="145" spans="6:14" x14ac:dyDescent="0.35">
      <c r="F145">
        <v>8000</v>
      </c>
      <c r="G145">
        <f t="shared" si="3"/>
        <v>8000000</v>
      </c>
    </row>
    <row r="146" spans="6:14" x14ac:dyDescent="0.35">
      <c r="F146">
        <v>3600</v>
      </c>
      <c r="G146">
        <f t="shared" si="3"/>
        <v>3600000</v>
      </c>
    </row>
    <row r="147" spans="6:14" x14ac:dyDescent="0.35">
      <c r="F147">
        <v>4212</v>
      </c>
      <c r="G147">
        <f t="shared" si="3"/>
        <v>4212000</v>
      </c>
    </row>
    <row r="148" spans="6:14" x14ac:dyDescent="0.35">
      <c r="F148">
        <v>8532</v>
      </c>
      <c r="G148">
        <f t="shared" si="3"/>
        <v>8532000</v>
      </c>
    </row>
    <row r="149" spans="6:14" x14ac:dyDescent="0.35">
      <c r="F149">
        <v>13531.429</v>
      </c>
      <c r="G149">
        <f t="shared" si="3"/>
        <v>13531429</v>
      </c>
    </row>
    <row r="150" spans="6:14" x14ac:dyDescent="0.35">
      <c r="F150">
        <v>23187.5</v>
      </c>
      <c r="G150">
        <f t="shared" si="3"/>
        <v>23187500</v>
      </c>
    </row>
    <row r="151" spans="6:14" x14ac:dyDescent="0.35">
      <c r="F151">
        <v>4373.3</v>
      </c>
      <c r="G151">
        <f t="shared" si="3"/>
        <v>4373300</v>
      </c>
    </row>
    <row r="152" spans="6:14" x14ac:dyDescent="0.35">
      <c r="F152">
        <v>3270</v>
      </c>
      <c r="G152">
        <f t="shared" si="3"/>
        <v>3270000</v>
      </c>
      <c r="J152" s="19" t="s">
        <v>166</v>
      </c>
      <c r="K152" s="19" t="s">
        <v>167</v>
      </c>
      <c r="L152" s="19" t="s">
        <v>168</v>
      </c>
      <c r="M152" s="19" t="s">
        <v>169</v>
      </c>
      <c r="N152" s="19" t="s">
        <v>170</v>
      </c>
    </row>
    <row r="153" spans="6:14" ht="43.5" x14ac:dyDescent="0.35">
      <c r="F153">
        <v>5050</v>
      </c>
      <c r="G153">
        <f t="shared" si="3"/>
        <v>5050000</v>
      </c>
      <c r="J153" s="20" t="s">
        <v>171</v>
      </c>
      <c r="K153" s="12" t="s">
        <v>172</v>
      </c>
      <c r="L153" s="12">
        <v>22</v>
      </c>
      <c r="M153" s="21">
        <f>L153/44</f>
        <v>0.5</v>
      </c>
      <c r="N153" s="12" t="s">
        <v>173</v>
      </c>
    </row>
    <row r="154" spans="6:14" ht="58" x14ac:dyDescent="0.35">
      <c r="F154">
        <v>19350</v>
      </c>
      <c r="G154">
        <f t="shared" si="3"/>
        <v>19350000</v>
      </c>
      <c r="J154" s="12"/>
      <c r="K154" s="12" t="s">
        <v>174</v>
      </c>
      <c r="L154" s="12">
        <v>17</v>
      </c>
      <c r="M154" s="21">
        <f t="shared" ref="M154:M163" si="4">L154/44</f>
        <v>0.38636363636363635</v>
      </c>
      <c r="N154" s="12" t="s">
        <v>175</v>
      </c>
    </row>
    <row r="155" spans="6:14" ht="58" x14ac:dyDescent="0.35">
      <c r="F155">
        <v>6900</v>
      </c>
      <c r="G155">
        <f t="shared" si="3"/>
        <v>6900000</v>
      </c>
      <c r="J155" s="12"/>
      <c r="K155" s="12" t="s">
        <v>176</v>
      </c>
      <c r="L155" s="12">
        <v>5</v>
      </c>
      <c r="M155" s="21">
        <f t="shared" si="4"/>
        <v>0.11363636363636363</v>
      </c>
      <c r="N155" s="12" t="s">
        <v>177</v>
      </c>
    </row>
    <row r="156" spans="6:14" ht="43.5" x14ac:dyDescent="0.35">
      <c r="F156">
        <v>4054.2660000000001</v>
      </c>
      <c r="G156">
        <f t="shared" si="3"/>
        <v>4054266</v>
      </c>
      <c r="J156" s="20" t="s">
        <v>178</v>
      </c>
      <c r="K156" s="12" t="s">
        <v>179</v>
      </c>
      <c r="L156" s="12">
        <v>27</v>
      </c>
      <c r="M156" s="21">
        <f t="shared" si="4"/>
        <v>0.61363636363636365</v>
      </c>
      <c r="N156" s="12" t="s">
        <v>180</v>
      </c>
    </row>
    <row r="157" spans="6:14" ht="29" x14ac:dyDescent="0.35">
      <c r="F157">
        <v>1950</v>
      </c>
      <c r="G157">
        <f t="shared" si="3"/>
        <v>1950000</v>
      </c>
      <c r="J157" s="12"/>
      <c r="K157" s="12" t="s">
        <v>181</v>
      </c>
      <c r="L157" s="12">
        <v>5</v>
      </c>
      <c r="M157" s="21">
        <f t="shared" si="4"/>
        <v>0.11363636363636363</v>
      </c>
      <c r="N157" s="12" t="s">
        <v>182</v>
      </c>
    </row>
    <row r="158" spans="6:14" ht="29" x14ac:dyDescent="0.35">
      <c r="F158">
        <v>5771.4290000000001</v>
      </c>
      <c r="G158">
        <f t="shared" si="3"/>
        <v>5771429</v>
      </c>
      <c r="J158" s="12"/>
      <c r="K158" s="12" t="s">
        <v>183</v>
      </c>
      <c r="L158" s="12">
        <v>4</v>
      </c>
      <c r="M158" s="21">
        <f t="shared" si="4"/>
        <v>9.0909090909090912E-2</v>
      </c>
      <c r="N158" s="12" t="s">
        <v>184</v>
      </c>
    </row>
    <row r="159" spans="6:14" ht="29" x14ac:dyDescent="0.35">
      <c r="F159">
        <v>4160</v>
      </c>
      <c r="G159">
        <f t="shared" si="3"/>
        <v>4160000</v>
      </c>
      <c r="J159" s="12"/>
      <c r="K159" s="12" t="s">
        <v>185</v>
      </c>
      <c r="L159" s="12">
        <v>2</v>
      </c>
      <c r="M159" s="21">
        <f t="shared" si="4"/>
        <v>4.5454545454545456E-2</v>
      </c>
      <c r="N159" s="12" t="s">
        <v>186</v>
      </c>
    </row>
    <row r="160" spans="6:14" ht="29" x14ac:dyDescent="0.35">
      <c r="J160" s="12"/>
      <c r="K160" s="12" t="s">
        <v>187</v>
      </c>
      <c r="L160" s="12">
        <v>1</v>
      </c>
      <c r="M160" s="21">
        <f t="shared" si="4"/>
        <v>2.2727272727272728E-2</v>
      </c>
      <c r="N160" s="12" t="s">
        <v>188</v>
      </c>
    </row>
    <row r="161" spans="4:23" ht="29" x14ac:dyDescent="0.35">
      <c r="J161" s="12"/>
      <c r="K161" s="12" t="s">
        <v>189</v>
      </c>
      <c r="L161" s="12">
        <v>1</v>
      </c>
      <c r="M161" s="21">
        <f t="shared" si="4"/>
        <v>2.2727272727272728E-2</v>
      </c>
      <c r="N161" s="12" t="s">
        <v>190</v>
      </c>
    </row>
    <row r="162" spans="4:23" ht="43.5" x14ac:dyDescent="0.35">
      <c r="J162" s="20" t="s">
        <v>191</v>
      </c>
      <c r="K162" s="12" t="s">
        <v>192</v>
      </c>
      <c r="L162" s="12">
        <v>25</v>
      </c>
      <c r="M162" s="21">
        <f t="shared" si="4"/>
        <v>0.56818181818181823</v>
      </c>
      <c r="N162" s="12" t="s">
        <v>193</v>
      </c>
    </row>
    <row r="163" spans="4:23" ht="43.5" x14ac:dyDescent="0.35">
      <c r="J163" s="12"/>
      <c r="K163" s="12" t="s">
        <v>194</v>
      </c>
      <c r="L163" s="12">
        <v>19</v>
      </c>
      <c r="M163" s="21">
        <f t="shared" si="4"/>
        <v>0.43181818181818182</v>
      </c>
      <c r="N163" s="12" t="s">
        <v>195</v>
      </c>
    </row>
    <row r="170" spans="4:23" ht="29" x14ac:dyDescent="0.35">
      <c r="D170" s="28" t="s">
        <v>45</v>
      </c>
      <c r="E170" s="29" t="s">
        <v>46</v>
      </c>
      <c r="F170" s="29" t="s">
        <v>11</v>
      </c>
      <c r="G170" s="29" t="s">
        <v>125</v>
      </c>
      <c r="H170" s="29" t="e">
        <f>IF(Table2[[#This Row],[Capacity (net MWe)]]&lt;=50,"Micro",IF(Table2[[#This Row],[Capacity (net MWe)]]&lt;=500,"SMR","Large"))</f>
        <v>#VALUE!</v>
      </c>
      <c r="I170" s="29"/>
      <c r="J170" s="29">
        <v>935</v>
      </c>
      <c r="K170" s="29">
        <v>9723</v>
      </c>
      <c r="L170" s="30">
        <v>5</v>
      </c>
      <c r="M170" s="29">
        <v>12.1</v>
      </c>
      <c r="N170" s="29">
        <v>40</v>
      </c>
      <c r="O170" s="26">
        <v>90</v>
      </c>
      <c r="P170" s="29" t="s">
        <v>104</v>
      </c>
      <c r="Q170" s="31">
        <v>100000</v>
      </c>
      <c r="R170" s="26">
        <v>5</v>
      </c>
      <c r="S170" s="26">
        <v>20</v>
      </c>
      <c r="T170" s="26">
        <v>1</v>
      </c>
      <c r="U170" s="29">
        <v>15</v>
      </c>
      <c r="V170" s="29" t="s">
        <v>126</v>
      </c>
      <c r="W170" s="32">
        <v>1987</v>
      </c>
    </row>
    <row r="171" spans="4:23" ht="29" x14ac:dyDescent="0.35">
      <c r="D171" s="33" t="s">
        <v>45</v>
      </c>
      <c r="E171" s="34" t="s">
        <v>127</v>
      </c>
      <c r="F171" s="34" t="s">
        <v>11</v>
      </c>
      <c r="G171" s="34" t="s">
        <v>125</v>
      </c>
      <c r="H171" s="34" t="e">
        <f>IF(Table2[[#This Row],[Capacity (net MWe)]]&lt;=50,"Micro",IF(Table2[[#This Row],[Capacity (net MWe)]]&lt;=500,"SMR","Large"))</f>
        <v>#VALUE!</v>
      </c>
      <c r="I171" s="34"/>
      <c r="J171" s="34">
        <v>1053</v>
      </c>
      <c r="K171" s="34">
        <v>10608</v>
      </c>
      <c r="L171" s="30">
        <v>5</v>
      </c>
      <c r="M171" s="34">
        <v>16</v>
      </c>
      <c r="N171" s="34">
        <v>40</v>
      </c>
      <c r="O171" s="23">
        <v>90</v>
      </c>
      <c r="P171" s="34" t="s">
        <v>104</v>
      </c>
      <c r="Q171" s="35">
        <v>100000</v>
      </c>
      <c r="R171" s="23">
        <v>5</v>
      </c>
      <c r="S171" s="23">
        <v>20</v>
      </c>
      <c r="T171" s="23">
        <v>1</v>
      </c>
      <c r="U171" s="34">
        <v>15</v>
      </c>
      <c r="V171" s="34" t="s">
        <v>126</v>
      </c>
      <c r="W171" s="36">
        <v>1986</v>
      </c>
    </row>
    <row r="172" spans="4:23" ht="29" x14ac:dyDescent="0.35">
      <c r="D172" s="28" t="s">
        <v>45</v>
      </c>
      <c r="E172" s="29" t="s">
        <v>48</v>
      </c>
      <c r="F172" s="29" t="s">
        <v>11</v>
      </c>
      <c r="G172" s="29" t="s">
        <v>125</v>
      </c>
      <c r="H172" s="29" t="e">
        <f>IF(Table2[[#This Row],[Capacity (net MWe)]]&lt;=50,"Micro",IF(Table2[[#This Row],[Capacity (net MWe)]]&lt;=500,"SMR","Large"))</f>
        <v>#VALUE!</v>
      </c>
      <c r="I172" s="29"/>
      <c r="J172" s="29">
        <v>919</v>
      </c>
      <c r="K172" s="29">
        <v>8974</v>
      </c>
      <c r="L172" s="30">
        <v>6.5</v>
      </c>
      <c r="M172" s="29">
        <v>9.3000000000000007</v>
      </c>
      <c r="N172" s="29">
        <v>40</v>
      </c>
      <c r="O172" s="26">
        <v>90</v>
      </c>
      <c r="P172" s="29" t="s">
        <v>104</v>
      </c>
      <c r="Q172" s="31">
        <v>100000</v>
      </c>
      <c r="R172" s="26">
        <v>5</v>
      </c>
      <c r="S172" s="26">
        <v>20</v>
      </c>
      <c r="T172" s="26">
        <v>1</v>
      </c>
      <c r="U172" s="29">
        <v>15</v>
      </c>
      <c r="V172" s="29" t="s">
        <v>126</v>
      </c>
      <c r="W172" s="32">
        <v>1985</v>
      </c>
    </row>
    <row r="173" spans="4:23" ht="29" x14ac:dyDescent="0.35">
      <c r="D173" s="33" t="s">
        <v>159</v>
      </c>
      <c r="E173" s="34" t="s">
        <v>145</v>
      </c>
      <c r="F173" s="34" t="s">
        <v>13</v>
      </c>
      <c r="G173" s="34" t="s">
        <v>125</v>
      </c>
      <c r="H173" s="34" t="e">
        <f>IF(Table2[[#This Row],[Capacity (net MWe)]]&lt;=50,"Micro",IF(Table2[[#This Row],[Capacity (net MWe)]]&lt;=500,"SMR","Large"))</f>
        <v>#VALUE!</v>
      </c>
      <c r="I173" s="34"/>
      <c r="J173" s="34">
        <v>1600</v>
      </c>
      <c r="K173" s="34">
        <v>7983</v>
      </c>
      <c r="L173" s="30">
        <v>5</v>
      </c>
      <c r="M173" s="34">
        <v>17</v>
      </c>
      <c r="N173" s="34">
        <v>60</v>
      </c>
      <c r="O173" s="23">
        <v>90</v>
      </c>
      <c r="P173" s="34" t="s">
        <v>104</v>
      </c>
      <c r="Q173" s="35">
        <v>100000</v>
      </c>
      <c r="R173" s="23">
        <v>5</v>
      </c>
      <c r="S173" s="23">
        <v>20</v>
      </c>
      <c r="T173" s="23">
        <v>1</v>
      </c>
      <c r="U173" s="34">
        <v>15</v>
      </c>
      <c r="V173" s="34" t="s">
        <v>128</v>
      </c>
      <c r="W173" s="36">
        <v>2022</v>
      </c>
    </row>
    <row r="174" spans="4:23" ht="29" x14ac:dyDescent="0.35">
      <c r="D174" s="28" t="s">
        <v>159</v>
      </c>
      <c r="E174" s="29" t="s">
        <v>146</v>
      </c>
      <c r="F174" s="29" t="s">
        <v>13</v>
      </c>
      <c r="G174" s="29" t="s">
        <v>125</v>
      </c>
      <c r="H174" s="29" t="e">
        <f>IF(Table2[[#This Row],[Capacity (net MWe)]]&lt;=50,"Micro",IF(Table2[[#This Row],[Capacity (net MWe)]]&lt;=500,"SMR","Large"))</f>
        <v>#VALUE!</v>
      </c>
      <c r="I174" s="29"/>
      <c r="J174" s="29">
        <v>1630</v>
      </c>
      <c r="K174" s="29">
        <v>5733</v>
      </c>
      <c r="L174" s="30">
        <v>5</v>
      </c>
      <c r="M174" s="29">
        <v>17</v>
      </c>
      <c r="N174" s="29">
        <v>60</v>
      </c>
      <c r="O174" s="26">
        <v>90</v>
      </c>
      <c r="P174" s="29" t="s">
        <v>104</v>
      </c>
      <c r="Q174" s="31">
        <v>100000</v>
      </c>
      <c r="R174" s="26">
        <v>5</v>
      </c>
      <c r="S174" s="26">
        <v>20</v>
      </c>
      <c r="T174" s="26">
        <v>1</v>
      </c>
      <c r="U174" s="29">
        <v>15</v>
      </c>
      <c r="V174" s="29" t="s">
        <v>128</v>
      </c>
      <c r="W174" s="32">
        <v>2022</v>
      </c>
    </row>
    <row r="175" spans="4:23" ht="29" x14ac:dyDescent="0.35">
      <c r="D175" s="33" t="s">
        <v>160</v>
      </c>
      <c r="E175" s="34" t="s">
        <v>147</v>
      </c>
      <c r="F175" s="34" t="s">
        <v>13</v>
      </c>
      <c r="G175" s="34" t="s">
        <v>125</v>
      </c>
      <c r="H175" s="34" t="e">
        <f>IF(Table2[[#This Row],[Capacity (net MWe)]]&lt;=50,"Micro",IF(Table2[[#This Row],[Capacity (net MWe)]]&lt;=500,"SMR","Large"))</f>
        <v>#VALUE!</v>
      </c>
      <c r="I175" s="34"/>
      <c r="J175" s="34">
        <v>1600</v>
      </c>
      <c r="K175" s="34">
        <v>9270</v>
      </c>
      <c r="L175" s="30">
        <v>5</v>
      </c>
      <c r="M175" s="34">
        <v>17.100000000000001</v>
      </c>
      <c r="N175" s="34">
        <v>60</v>
      </c>
      <c r="O175" s="23">
        <v>90</v>
      </c>
      <c r="P175" s="34" t="s">
        <v>104</v>
      </c>
      <c r="Q175" s="35">
        <v>100000</v>
      </c>
      <c r="R175" s="23">
        <v>5</v>
      </c>
      <c r="S175" s="23">
        <v>20</v>
      </c>
      <c r="T175" s="23">
        <v>1</v>
      </c>
      <c r="U175" s="34">
        <v>15</v>
      </c>
      <c r="V175" s="34" t="s">
        <v>128</v>
      </c>
      <c r="W175" s="36">
        <v>2024</v>
      </c>
    </row>
    <row r="176" spans="4:23" ht="29" x14ac:dyDescent="0.35">
      <c r="D176" s="28" t="s">
        <v>160</v>
      </c>
      <c r="E176" s="29" t="s">
        <v>148</v>
      </c>
      <c r="F176" s="29" t="s">
        <v>13</v>
      </c>
      <c r="G176" s="29" t="s">
        <v>125</v>
      </c>
      <c r="H176" s="29" t="e">
        <f>IF(Table2[[#This Row],[Capacity (net MWe)]]&lt;=50,"Micro",IF(Table2[[#This Row],[Capacity (net MWe)]]&lt;=500,"SMR","Large"))</f>
        <v>#VALUE!</v>
      </c>
      <c r="I176" s="29"/>
      <c r="J176" s="29">
        <v>1600</v>
      </c>
      <c r="K176" s="29">
        <v>8620</v>
      </c>
      <c r="L176" s="30">
        <v>5</v>
      </c>
      <c r="M176" s="29">
        <v>17.100000000000001</v>
      </c>
      <c r="N176" s="29">
        <v>60</v>
      </c>
      <c r="O176" s="26">
        <v>90</v>
      </c>
      <c r="P176" s="29" t="s">
        <v>104</v>
      </c>
      <c r="Q176" s="31">
        <v>100000</v>
      </c>
      <c r="R176" s="26">
        <v>5</v>
      </c>
      <c r="S176" s="26">
        <v>20</v>
      </c>
      <c r="T176" s="26">
        <v>1</v>
      </c>
      <c r="U176" s="29">
        <v>15</v>
      </c>
      <c r="V176" s="29" t="s">
        <v>128</v>
      </c>
      <c r="W176" s="32">
        <v>2024</v>
      </c>
    </row>
    <row r="177" spans="4:23" ht="29" x14ac:dyDescent="0.35">
      <c r="D177" s="33" t="s">
        <v>54</v>
      </c>
      <c r="E177" s="34" t="s">
        <v>55</v>
      </c>
      <c r="F177" s="34" t="s">
        <v>13</v>
      </c>
      <c r="G177" s="34" t="s">
        <v>125</v>
      </c>
      <c r="H177" s="34" t="e">
        <f>IF(Table2[[#This Row],[Capacity (net MWe)]]&lt;=50,"Micro",IF(Table2[[#This Row],[Capacity (net MWe)]]&lt;=500,"SMR","Large"))</f>
        <v>#VALUE!</v>
      </c>
      <c r="I177" s="34"/>
      <c r="J177" s="34">
        <v>1630</v>
      </c>
      <c r="K177" s="34">
        <v>8549</v>
      </c>
      <c r="L177" s="30">
        <v>7</v>
      </c>
      <c r="M177" s="34"/>
      <c r="N177" s="34">
        <v>60</v>
      </c>
      <c r="O177" s="23">
        <v>90</v>
      </c>
      <c r="P177" s="34" t="s">
        <v>104</v>
      </c>
      <c r="Q177" s="35">
        <v>100000</v>
      </c>
      <c r="R177" s="23">
        <v>5</v>
      </c>
      <c r="S177" s="23">
        <v>20</v>
      </c>
      <c r="T177" s="23">
        <v>1</v>
      </c>
      <c r="U177" s="34">
        <v>15</v>
      </c>
      <c r="V177" s="34" t="s">
        <v>128</v>
      </c>
      <c r="W177" s="36">
        <v>2025</v>
      </c>
    </row>
    <row r="178" spans="4:23" ht="29" x14ac:dyDescent="0.35">
      <c r="D178" s="28" t="s">
        <v>54</v>
      </c>
      <c r="E178" s="29" t="s">
        <v>57</v>
      </c>
      <c r="F178" s="29" t="s">
        <v>13</v>
      </c>
      <c r="G178" s="29" t="s">
        <v>125</v>
      </c>
      <c r="H178" s="29" t="e">
        <f>IF(Table2[[#This Row],[Capacity (net MWe)]]&lt;=50,"Micro",IF(Table2[[#This Row],[Capacity (net MWe)]]&lt;=500,"SMR","Large"))</f>
        <v>#VALUE!</v>
      </c>
      <c r="I178" s="29"/>
      <c r="J178" s="29">
        <v>1630</v>
      </c>
      <c r="K178" s="29">
        <v>8549</v>
      </c>
      <c r="L178" s="30">
        <v>7</v>
      </c>
      <c r="M178" s="29"/>
      <c r="N178" s="29">
        <v>60</v>
      </c>
      <c r="O178" s="26">
        <v>90</v>
      </c>
      <c r="P178" s="29" t="s">
        <v>104</v>
      </c>
      <c r="Q178" s="31">
        <v>100000</v>
      </c>
      <c r="R178" s="26">
        <v>5</v>
      </c>
      <c r="S178" s="26">
        <v>20</v>
      </c>
      <c r="T178" s="26">
        <v>1</v>
      </c>
      <c r="U178" s="29">
        <v>15</v>
      </c>
      <c r="V178" s="29" t="s">
        <v>128</v>
      </c>
      <c r="W178" s="32">
        <v>2025</v>
      </c>
    </row>
    <row r="179" spans="4:23" ht="29" x14ac:dyDescent="0.35">
      <c r="D179" s="33" t="s">
        <v>45</v>
      </c>
      <c r="E179" s="34" t="s">
        <v>149</v>
      </c>
      <c r="F179" s="34" t="s">
        <v>13</v>
      </c>
      <c r="G179" s="34" t="s">
        <v>125</v>
      </c>
      <c r="H179" s="34" t="e">
        <f>IF(Table2[[#This Row],[Capacity (net MWe)]]&lt;=50,"Micro",IF(Table2[[#This Row],[Capacity (net MWe)]]&lt;=500,"SMR","Large"))</f>
        <v>#VALUE!</v>
      </c>
      <c r="I179" s="34"/>
      <c r="J179" s="34">
        <v>1117</v>
      </c>
      <c r="K179" s="34">
        <v>11330</v>
      </c>
      <c r="L179" s="30">
        <v>4</v>
      </c>
      <c r="M179" s="34">
        <v>14</v>
      </c>
      <c r="N179" s="34">
        <v>60</v>
      </c>
      <c r="O179" s="23">
        <v>90</v>
      </c>
      <c r="P179" s="34" t="s">
        <v>104</v>
      </c>
      <c r="Q179" s="35">
        <v>100000</v>
      </c>
      <c r="R179" s="23">
        <v>5</v>
      </c>
      <c r="S179" s="23">
        <v>20</v>
      </c>
      <c r="T179" s="23">
        <v>1</v>
      </c>
      <c r="U179" s="34">
        <v>15</v>
      </c>
      <c r="V179" s="34" t="s">
        <v>128</v>
      </c>
      <c r="W179" s="36">
        <v>2023</v>
      </c>
    </row>
    <row r="180" spans="4:23" ht="29" x14ac:dyDescent="0.35">
      <c r="D180" s="28" t="s">
        <v>45</v>
      </c>
      <c r="E180" s="29" t="s">
        <v>150</v>
      </c>
      <c r="F180" s="29" t="s">
        <v>13</v>
      </c>
      <c r="G180" s="29" t="s">
        <v>125</v>
      </c>
      <c r="H180" s="29" t="e">
        <f>IF(Table2[[#This Row],[Capacity (net MWe)]]&lt;=50,"Micro",IF(Table2[[#This Row],[Capacity (net MWe)]]&lt;=500,"SMR","Large"))</f>
        <v>#VALUE!</v>
      </c>
      <c r="I180" s="29"/>
      <c r="J180" s="29">
        <v>1117</v>
      </c>
      <c r="K180" s="29">
        <v>11330</v>
      </c>
      <c r="L180" s="30">
        <v>4</v>
      </c>
      <c r="M180" s="29">
        <v>15</v>
      </c>
      <c r="N180" s="29">
        <v>60</v>
      </c>
      <c r="O180" s="26">
        <v>90</v>
      </c>
      <c r="P180" s="29" t="s">
        <v>104</v>
      </c>
      <c r="Q180" s="31">
        <v>100000</v>
      </c>
      <c r="R180" s="26">
        <v>5</v>
      </c>
      <c r="S180" s="26">
        <v>20</v>
      </c>
      <c r="T180" s="26">
        <v>1</v>
      </c>
      <c r="U180" s="29">
        <v>15</v>
      </c>
      <c r="V180" s="29" t="s">
        <v>128</v>
      </c>
      <c r="W180" s="32">
        <v>2024</v>
      </c>
    </row>
    <row r="181" spans="4:23" x14ac:dyDescent="0.35">
      <c r="D181" s="33" t="s">
        <v>45</v>
      </c>
      <c r="E181" s="34" t="s">
        <v>151</v>
      </c>
      <c r="F181" s="34" t="s">
        <v>13</v>
      </c>
      <c r="G181" s="34" t="s">
        <v>125</v>
      </c>
      <c r="H181" s="34" t="e">
        <f>IF(Table2[[#This Row],[Capacity (net MWe)]]&lt;=50,"Micro",IF(Table2[[#This Row],[Capacity (net MWe)]]&lt;=500,"SMR","Large"))</f>
        <v>#VALUE!</v>
      </c>
      <c r="I181" s="34"/>
      <c r="J181" s="34">
        <v>1117</v>
      </c>
      <c r="K181" s="34">
        <v>8600</v>
      </c>
      <c r="L181" s="30">
        <v>4</v>
      </c>
      <c r="M181" s="34">
        <v>14</v>
      </c>
      <c r="N181" s="34">
        <v>60</v>
      </c>
      <c r="O181" s="23">
        <v>90</v>
      </c>
      <c r="P181" s="34" t="s">
        <v>104</v>
      </c>
      <c r="Q181" s="35">
        <v>100000</v>
      </c>
      <c r="R181" s="23">
        <v>5</v>
      </c>
      <c r="S181" s="23">
        <v>20</v>
      </c>
      <c r="T181" s="23">
        <v>1</v>
      </c>
      <c r="U181" s="34">
        <v>15</v>
      </c>
      <c r="V181" s="34" t="s">
        <v>128</v>
      </c>
      <c r="W181" s="36">
        <v>2023</v>
      </c>
    </row>
    <row r="182" spans="4:23" x14ac:dyDescent="0.35">
      <c r="D182" s="28" t="s">
        <v>45</v>
      </c>
      <c r="E182" s="29" t="s">
        <v>152</v>
      </c>
      <c r="F182" s="29" t="s">
        <v>13</v>
      </c>
      <c r="G182" s="29" t="s">
        <v>125</v>
      </c>
      <c r="H182" s="29" t="e">
        <f>IF(Table2[[#This Row],[Capacity (net MWe)]]&lt;=50,"Micro",IF(Table2[[#This Row],[Capacity (net MWe)]]&lt;=500,"SMR","Large"))</f>
        <v>#VALUE!</v>
      </c>
      <c r="I182" s="29"/>
      <c r="J182" s="29">
        <v>1117</v>
      </c>
      <c r="K182" s="29">
        <v>8600</v>
      </c>
      <c r="L182" s="30">
        <v>4</v>
      </c>
      <c r="M182" s="29">
        <v>15</v>
      </c>
      <c r="N182" s="29">
        <v>60</v>
      </c>
      <c r="O182" s="26">
        <v>90</v>
      </c>
      <c r="P182" s="29" t="s">
        <v>104</v>
      </c>
      <c r="Q182" s="31">
        <v>100000</v>
      </c>
      <c r="R182" s="26">
        <v>5</v>
      </c>
      <c r="S182" s="26">
        <v>20</v>
      </c>
      <c r="T182" s="26">
        <v>1</v>
      </c>
      <c r="U182" s="29">
        <v>15</v>
      </c>
      <c r="V182" s="29" t="s">
        <v>128</v>
      </c>
      <c r="W182" s="32">
        <v>2024</v>
      </c>
    </row>
    <row r="183" spans="4:23" ht="29" x14ac:dyDescent="0.35">
      <c r="D183" s="33" t="s">
        <v>155</v>
      </c>
      <c r="E183" s="34" t="s">
        <v>133</v>
      </c>
      <c r="F183" s="34" t="s">
        <v>13</v>
      </c>
      <c r="G183" s="34" t="s">
        <v>129</v>
      </c>
      <c r="H183" s="34" t="e">
        <f>IF(Table2[[#This Row],[Capacity (net MWe)]]&lt;=50,"Micro",IF(Table2[[#This Row],[Capacity (net MWe)]]&lt;=500,"SMR","Large"))</f>
        <v>#VALUE!</v>
      </c>
      <c r="I183" s="34"/>
      <c r="J183" s="34">
        <v>1340</v>
      </c>
      <c r="K183" s="34">
        <v>2410</v>
      </c>
      <c r="L183" s="30">
        <v>5</v>
      </c>
      <c r="M183" s="34">
        <v>8.18</v>
      </c>
      <c r="N183" s="34">
        <v>60</v>
      </c>
      <c r="O183" s="23">
        <v>90</v>
      </c>
      <c r="P183" s="34" t="s">
        <v>104</v>
      </c>
      <c r="Q183" s="35">
        <v>100000</v>
      </c>
      <c r="R183" s="23">
        <v>5</v>
      </c>
      <c r="S183" s="23">
        <v>20</v>
      </c>
      <c r="T183" s="23">
        <v>1</v>
      </c>
      <c r="U183" s="34">
        <v>15</v>
      </c>
      <c r="V183" s="34" t="s">
        <v>128</v>
      </c>
      <c r="W183" s="36">
        <v>2016</v>
      </c>
    </row>
    <row r="184" spans="4:23" ht="29" x14ac:dyDescent="0.35">
      <c r="D184" s="28" t="s">
        <v>155</v>
      </c>
      <c r="E184" s="29" t="s">
        <v>132</v>
      </c>
      <c r="F184" s="29" t="s">
        <v>13</v>
      </c>
      <c r="G184" s="29" t="s">
        <v>129</v>
      </c>
      <c r="H184" s="29" t="e">
        <f>IF(Table2[[#This Row],[Capacity (net MWe)]]&lt;=50,"Micro",IF(Table2[[#This Row],[Capacity (net MWe)]]&lt;=500,"SMR","Large"))</f>
        <v>#VALUE!</v>
      </c>
      <c r="I184" s="29"/>
      <c r="J184" s="29">
        <v>1340</v>
      </c>
      <c r="K184" s="29">
        <v>2410</v>
      </c>
      <c r="L184" s="30">
        <v>5</v>
      </c>
      <c r="M184" s="29">
        <v>10.029999999999999</v>
      </c>
      <c r="N184" s="29">
        <v>60</v>
      </c>
      <c r="O184" s="26">
        <v>90</v>
      </c>
      <c r="P184" s="29" t="s">
        <v>104</v>
      </c>
      <c r="Q184" s="31">
        <v>100000</v>
      </c>
      <c r="R184" s="26">
        <v>5</v>
      </c>
      <c r="S184" s="26">
        <v>20</v>
      </c>
      <c r="T184" s="26">
        <v>1</v>
      </c>
      <c r="U184" s="29">
        <v>15</v>
      </c>
      <c r="V184" s="29" t="s">
        <v>128</v>
      </c>
      <c r="W184" s="32">
        <v>2019</v>
      </c>
    </row>
    <row r="185" spans="4:23" x14ac:dyDescent="0.35">
      <c r="D185" s="33" t="s">
        <v>93</v>
      </c>
      <c r="E185" s="34" t="s">
        <v>66</v>
      </c>
      <c r="F185" s="34" t="s">
        <v>13</v>
      </c>
      <c r="G185" s="34" t="s">
        <v>125</v>
      </c>
      <c r="H185" s="34" t="e">
        <f>IF(Table2[[#This Row],[Capacity (net MWe)]]&lt;=50,"Micro",IF(Table2[[#This Row],[Capacity (net MWe)]]&lt;=500,"SMR","Large"))</f>
        <v>#VALUE!</v>
      </c>
      <c r="I185" s="34"/>
      <c r="J185" s="34">
        <v>1000</v>
      </c>
      <c r="K185" s="34">
        <v>3154</v>
      </c>
      <c r="L185" s="30">
        <v>5</v>
      </c>
      <c r="M185" s="34">
        <v>9</v>
      </c>
      <c r="N185" s="34">
        <v>60</v>
      </c>
      <c r="O185" s="23">
        <v>90</v>
      </c>
      <c r="P185" s="34" t="s">
        <v>104</v>
      </c>
      <c r="Q185" s="35">
        <v>100000</v>
      </c>
      <c r="R185" s="23">
        <v>5</v>
      </c>
      <c r="S185" s="23">
        <v>20</v>
      </c>
      <c r="T185" s="23">
        <v>1</v>
      </c>
      <c r="U185" s="34">
        <v>15</v>
      </c>
      <c r="V185" s="34" t="s">
        <v>128</v>
      </c>
      <c r="W185" s="36">
        <v>2018</v>
      </c>
    </row>
    <row r="186" spans="4:23" x14ac:dyDescent="0.35">
      <c r="D186" s="28" t="s">
        <v>93</v>
      </c>
      <c r="E186" s="29" t="s">
        <v>67</v>
      </c>
      <c r="F186" s="29" t="s">
        <v>13</v>
      </c>
      <c r="G186" s="29" t="s">
        <v>125</v>
      </c>
      <c r="H186" s="29" t="e">
        <f>IF(Table2[[#This Row],[Capacity (net MWe)]]&lt;=50,"Micro",IF(Table2[[#This Row],[Capacity (net MWe)]]&lt;=500,"SMR","Large"))</f>
        <v>#VALUE!</v>
      </c>
      <c r="I186" s="29"/>
      <c r="J186" s="29">
        <v>1000</v>
      </c>
      <c r="K186" s="29">
        <v>3154</v>
      </c>
      <c r="L186" s="30">
        <v>5</v>
      </c>
      <c r="M186" s="29">
        <v>9</v>
      </c>
      <c r="N186" s="29">
        <v>60</v>
      </c>
      <c r="O186" s="26">
        <v>90</v>
      </c>
      <c r="P186" s="29" t="s">
        <v>104</v>
      </c>
      <c r="Q186" s="31">
        <v>100000</v>
      </c>
      <c r="R186" s="26">
        <v>5</v>
      </c>
      <c r="S186" s="26">
        <v>20</v>
      </c>
      <c r="T186" s="26">
        <v>1</v>
      </c>
      <c r="U186" s="29">
        <v>15</v>
      </c>
      <c r="V186" s="29" t="s">
        <v>128</v>
      </c>
      <c r="W186" s="32">
        <v>2018</v>
      </c>
    </row>
    <row r="187" spans="4:23" x14ac:dyDescent="0.35">
      <c r="D187" s="33" t="s">
        <v>93</v>
      </c>
      <c r="E187" s="34" t="s">
        <v>68</v>
      </c>
      <c r="F187" s="34" t="s">
        <v>13</v>
      </c>
      <c r="G187" s="34" t="s">
        <v>125</v>
      </c>
      <c r="H187" s="34" t="e">
        <f>IF(Table2[[#This Row],[Capacity (net MWe)]]&lt;=50,"Micro",IF(Table2[[#This Row],[Capacity (net MWe)]]&lt;=500,"SMR","Large"))</f>
        <v>#VALUE!</v>
      </c>
      <c r="I187" s="34"/>
      <c r="J187" s="34">
        <v>1660</v>
      </c>
      <c r="K187" s="34">
        <v>3222</v>
      </c>
      <c r="L187" s="30">
        <v>4.5</v>
      </c>
      <c r="M187" s="34">
        <v>9.1</v>
      </c>
      <c r="N187" s="34">
        <v>60</v>
      </c>
      <c r="O187" s="23">
        <v>90</v>
      </c>
      <c r="P187" s="34" t="s">
        <v>104</v>
      </c>
      <c r="Q187" s="35">
        <v>100000</v>
      </c>
      <c r="R187" s="23">
        <v>5</v>
      </c>
      <c r="S187" s="23">
        <v>20</v>
      </c>
      <c r="T187" s="23">
        <v>1</v>
      </c>
      <c r="U187" s="34">
        <v>15</v>
      </c>
      <c r="V187" s="34" t="s">
        <v>128</v>
      </c>
      <c r="W187" s="36">
        <v>2018</v>
      </c>
    </row>
    <row r="188" spans="4:23" x14ac:dyDescent="0.35">
      <c r="D188" s="28" t="s">
        <v>93</v>
      </c>
      <c r="E188" s="29" t="s">
        <v>69</v>
      </c>
      <c r="F188" s="29" t="s">
        <v>13</v>
      </c>
      <c r="G188" s="29" t="s">
        <v>125</v>
      </c>
      <c r="H188" s="29" t="e">
        <f>IF(Table2[[#This Row],[Capacity (net MWe)]]&lt;=50,"Micro",IF(Table2[[#This Row],[Capacity (net MWe)]]&lt;=500,"SMR","Large"))</f>
        <v>#VALUE!</v>
      </c>
      <c r="I188" s="29"/>
      <c r="J188" s="29">
        <v>1660</v>
      </c>
      <c r="K188" s="29">
        <v>3222</v>
      </c>
      <c r="L188" s="30">
        <v>4.5</v>
      </c>
      <c r="M188" s="29">
        <v>9.4</v>
      </c>
      <c r="N188" s="29">
        <v>60</v>
      </c>
      <c r="O188" s="26">
        <v>90</v>
      </c>
      <c r="P188" s="29" t="s">
        <v>104</v>
      </c>
      <c r="Q188" s="31">
        <v>100000</v>
      </c>
      <c r="R188" s="26">
        <v>5</v>
      </c>
      <c r="S188" s="26">
        <v>20</v>
      </c>
      <c r="T188" s="26">
        <v>1</v>
      </c>
      <c r="U188" s="29">
        <v>15</v>
      </c>
      <c r="V188" s="29" t="s">
        <v>128</v>
      </c>
      <c r="W188" s="32">
        <v>2019</v>
      </c>
    </row>
    <row r="189" spans="4:23" ht="29" x14ac:dyDescent="0.35">
      <c r="D189" s="33" t="s">
        <v>92</v>
      </c>
      <c r="E189" s="34" t="s">
        <v>71</v>
      </c>
      <c r="F189" s="34" t="s">
        <v>13</v>
      </c>
      <c r="G189" s="34" t="s">
        <v>129</v>
      </c>
      <c r="H189" s="34" t="e">
        <f>IF(Table2[[#This Row],[Capacity (net MWe)]]&lt;=50,"Micro",IF(Table2[[#This Row],[Capacity (net MWe)]]&lt;=500,"SMR","Large"))</f>
        <v>#VALUE!</v>
      </c>
      <c r="I189" s="34"/>
      <c r="J189" s="34">
        <v>1144</v>
      </c>
      <c r="K189" s="34">
        <v>2244</v>
      </c>
      <c r="L189" s="30">
        <v>6</v>
      </c>
      <c r="M189" s="34">
        <v>8.68</v>
      </c>
      <c r="N189" s="34">
        <v>60</v>
      </c>
      <c r="O189" s="23">
        <v>90</v>
      </c>
      <c r="P189" s="34" t="s">
        <v>104</v>
      </c>
      <c r="Q189" s="35">
        <v>100000</v>
      </c>
      <c r="R189" s="23">
        <v>5</v>
      </c>
      <c r="S189" s="23">
        <v>20</v>
      </c>
      <c r="T189" s="23">
        <v>1</v>
      </c>
      <c r="U189" s="34">
        <v>15</v>
      </c>
      <c r="V189" s="34" t="s">
        <v>128</v>
      </c>
      <c r="W189" s="36">
        <v>2016</v>
      </c>
    </row>
    <row r="190" spans="4:23" ht="29" x14ac:dyDescent="0.35">
      <c r="D190" s="28" t="s">
        <v>92</v>
      </c>
      <c r="E190" s="29" t="s">
        <v>73</v>
      </c>
      <c r="F190" s="29" t="s">
        <v>13</v>
      </c>
      <c r="G190" s="29" t="s">
        <v>129</v>
      </c>
      <c r="H190" s="29" t="e">
        <f>IF(Table2[[#This Row],[Capacity (net MWe)]]&lt;=50,"Micro",IF(Table2[[#This Row],[Capacity (net MWe)]]&lt;=500,"SMR","Large"))</f>
        <v>#VALUE!</v>
      </c>
      <c r="I190" s="29"/>
      <c r="J190" s="29">
        <v>1144</v>
      </c>
      <c r="K190" s="29">
        <v>2244</v>
      </c>
      <c r="L190" s="30">
        <v>7</v>
      </c>
      <c r="M190" s="29">
        <v>10.31</v>
      </c>
      <c r="N190" s="29">
        <v>60</v>
      </c>
      <c r="O190" s="26">
        <v>90</v>
      </c>
      <c r="P190" s="29" t="s">
        <v>104</v>
      </c>
      <c r="Q190" s="31">
        <v>100000</v>
      </c>
      <c r="R190" s="26">
        <v>5</v>
      </c>
      <c r="S190" s="26">
        <v>20</v>
      </c>
      <c r="T190" s="26">
        <v>1</v>
      </c>
      <c r="U190" s="29">
        <v>15</v>
      </c>
      <c r="V190" s="29" t="s">
        <v>128</v>
      </c>
      <c r="W190" s="32">
        <v>2019</v>
      </c>
    </row>
    <row r="191" spans="4:23" ht="29" x14ac:dyDescent="0.35">
      <c r="D191" s="33" t="s">
        <v>45</v>
      </c>
      <c r="E191" s="34" t="s">
        <v>153</v>
      </c>
      <c r="F191" s="34" t="s">
        <v>35</v>
      </c>
      <c r="G191" s="34" t="s">
        <v>125</v>
      </c>
      <c r="H191" s="34" t="e">
        <f>IF(Table2[[#This Row],[Capacity (net MWe)]]&lt;=50,"Micro",IF(Table2[[#This Row],[Capacity (net MWe)]]&lt;=500,"SMR","Large"))</f>
        <v>#VALUE!</v>
      </c>
      <c r="I191" s="34"/>
      <c r="J191" s="34">
        <v>200</v>
      </c>
      <c r="K191" s="34">
        <v>7195</v>
      </c>
      <c r="L191" s="30">
        <v>6</v>
      </c>
      <c r="M191" s="34">
        <v>10.83</v>
      </c>
      <c r="N191" s="34">
        <v>40</v>
      </c>
      <c r="O191" s="23">
        <v>90</v>
      </c>
      <c r="P191" s="34" t="s">
        <v>104</v>
      </c>
      <c r="Q191" s="35">
        <v>100000</v>
      </c>
      <c r="R191" s="23">
        <v>5</v>
      </c>
      <c r="S191" s="23">
        <v>20</v>
      </c>
      <c r="T191" s="23">
        <v>1</v>
      </c>
      <c r="U191" s="34">
        <v>15</v>
      </c>
      <c r="V191" s="34" t="s">
        <v>128</v>
      </c>
      <c r="W191" s="36">
        <v>1976</v>
      </c>
    </row>
    <row r="192" spans="4:23" x14ac:dyDescent="0.35">
      <c r="D192" s="28" t="s">
        <v>45</v>
      </c>
      <c r="E192" s="29" t="s">
        <v>74</v>
      </c>
      <c r="F192" s="29" t="s">
        <v>35</v>
      </c>
      <c r="G192" s="29" t="s">
        <v>125</v>
      </c>
      <c r="H192" s="29" t="e">
        <f>IF(Table2[[#This Row],[Capacity (net MWe)]]&lt;=50,"Micro",IF(Table2[[#This Row],[Capacity (net MWe)]]&lt;=500,"SMR","Large"))</f>
        <v>#VALUE!</v>
      </c>
      <c r="I192" s="29"/>
      <c r="J192" s="29">
        <v>200</v>
      </c>
      <c r="K192" s="29">
        <v>8108</v>
      </c>
      <c r="L192" s="30">
        <v>6</v>
      </c>
      <c r="M192" s="29">
        <v>10.83</v>
      </c>
      <c r="N192" s="29">
        <v>40</v>
      </c>
      <c r="O192" s="26">
        <v>90</v>
      </c>
      <c r="P192" s="29" t="s">
        <v>104</v>
      </c>
      <c r="Q192" s="31">
        <v>100000</v>
      </c>
      <c r="R192" s="26">
        <v>5</v>
      </c>
      <c r="S192" s="26">
        <v>20</v>
      </c>
      <c r="T192" s="26">
        <v>1</v>
      </c>
      <c r="U192" s="29">
        <v>15</v>
      </c>
      <c r="V192" s="29" t="s">
        <v>128</v>
      </c>
      <c r="W192" s="32">
        <v>1976</v>
      </c>
    </row>
    <row r="193" spans="4:23" ht="29" x14ac:dyDescent="0.35">
      <c r="D193" s="33" t="s">
        <v>45</v>
      </c>
      <c r="E193" s="34" t="s">
        <v>75</v>
      </c>
      <c r="F193" s="34" t="s">
        <v>35</v>
      </c>
      <c r="G193" s="34" t="s">
        <v>125</v>
      </c>
      <c r="H193" s="34" t="e">
        <f>IF(Table2[[#This Row],[Capacity (net MWe)]]&lt;=50,"Micro",IF(Table2[[#This Row],[Capacity (net MWe)]]&lt;=500,"SMR","Large"))</f>
        <v>#VALUE!</v>
      </c>
      <c r="I193" s="34"/>
      <c r="J193" s="34">
        <v>46</v>
      </c>
      <c r="K193" s="34">
        <v>1197</v>
      </c>
      <c r="L193" s="30">
        <v>6</v>
      </c>
      <c r="M193" s="34">
        <v>5.33</v>
      </c>
      <c r="N193" s="34">
        <v>40</v>
      </c>
      <c r="O193" s="23">
        <v>90</v>
      </c>
      <c r="P193" s="34" t="s">
        <v>104</v>
      </c>
      <c r="Q193" s="35">
        <v>100000</v>
      </c>
      <c r="R193" s="23">
        <v>5</v>
      </c>
      <c r="S193" s="23">
        <v>20</v>
      </c>
      <c r="T193" s="23">
        <v>1</v>
      </c>
      <c r="U193" s="34">
        <v>15</v>
      </c>
      <c r="V193" s="34" t="s">
        <v>128</v>
      </c>
      <c r="W193" s="36">
        <v>1967</v>
      </c>
    </row>
    <row r="194" spans="4:23" x14ac:dyDescent="0.35">
      <c r="D194" s="28" t="s">
        <v>92</v>
      </c>
      <c r="E194" s="29" t="s">
        <v>165</v>
      </c>
      <c r="F194" s="29" t="s">
        <v>37</v>
      </c>
      <c r="G194" s="29" t="s">
        <v>129</v>
      </c>
      <c r="H194" s="29" t="e">
        <f>IF(Table2[[#This Row],[Capacity (net MWe)]]&lt;=50,"Micro",IF(Table2[[#This Row],[Capacity (net MWe)]]&lt;=500,"SMR","Large"))</f>
        <v>#VALUE!</v>
      </c>
      <c r="I194" s="29">
        <v>820</v>
      </c>
      <c r="J194" s="29">
        <v>885</v>
      </c>
      <c r="K194" s="29">
        <v>2501</v>
      </c>
      <c r="L194" s="37">
        <v>8</v>
      </c>
      <c r="M194" s="29">
        <v>8</v>
      </c>
      <c r="N194" s="29">
        <v>60</v>
      </c>
      <c r="O194" s="26">
        <v>90</v>
      </c>
      <c r="P194" s="29" t="s">
        <v>104</v>
      </c>
      <c r="Q194" s="31">
        <v>100000</v>
      </c>
      <c r="R194" s="26">
        <v>5</v>
      </c>
      <c r="S194" s="26">
        <v>20</v>
      </c>
      <c r="T194" s="26">
        <v>1</v>
      </c>
      <c r="U194" s="29">
        <v>15</v>
      </c>
      <c r="V194" s="29" t="s">
        <v>128</v>
      </c>
      <c r="W194" s="32">
        <v>2015</v>
      </c>
    </row>
    <row r="195" spans="4:23" x14ac:dyDescent="0.35">
      <c r="D195" s="33" t="s">
        <v>160</v>
      </c>
      <c r="E195" s="34" t="s">
        <v>140</v>
      </c>
      <c r="F195" s="34" t="s">
        <v>37</v>
      </c>
      <c r="G195" s="34" t="s">
        <v>125</v>
      </c>
      <c r="H195" s="34" t="e">
        <f>IF(Table2[[#This Row],[Capacity (net MWe)]]&lt;=50,"Micro",IF(Table2[[#This Row],[Capacity (net MWe)]]&lt;=500,"SMR","Large"))</f>
        <v>#VALUE!</v>
      </c>
      <c r="I195" s="34"/>
      <c r="J195" s="34">
        <v>1250</v>
      </c>
      <c r="K195" s="34">
        <v>6145</v>
      </c>
      <c r="L195" s="37">
        <v>7</v>
      </c>
      <c r="M195" s="34">
        <v>10</v>
      </c>
      <c r="N195" s="34">
        <v>40</v>
      </c>
      <c r="O195" s="23">
        <v>90</v>
      </c>
      <c r="P195" s="34" t="s">
        <v>104</v>
      </c>
      <c r="Q195" s="35">
        <v>100000</v>
      </c>
      <c r="R195" s="23">
        <v>5</v>
      </c>
      <c r="S195" s="23">
        <v>20</v>
      </c>
      <c r="T195" s="23">
        <v>1</v>
      </c>
      <c r="U195" s="34">
        <v>15</v>
      </c>
      <c r="V195" s="34" t="s">
        <v>128</v>
      </c>
      <c r="W195" s="36">
        <v>1986</v>
      </c>
    </row>
    <row r="196" spans="4:23" x14ac:dyDescent="0.35">
      <c r="D196" s="25" t="s">
        <v>92</v>
      </c>
      <c r="E196" s="26" t="s">
        <v>161</v>
      </c>
      <c r="F196" s="26" t="s">
        <v>13</v>
      </c>
      <c r="G196" s="26"/>
      <c r="H196" s="29" t="e">
        <f>IF(Table2[[#This Row],[Capacity (net MWe)]]&lt;=50,"Micro",IF(Table2[[#This Row],[Capacity (net MWe)]]&lt;=500,"SMR","Large"))</f>
        <v>#VALUE!</v>
      </c>
      <c r="I196" s="26"/>
      <c r="J196" s="26">
        <v>1200</v>
      </c>
      <c r="K196" s="26"/>
      <c r="L196" s="38">
        <v>5</v>
      </c>
      <c r="M196" s="29">
        <v>10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7"/>
    </row>
    <row r="197" spans="4:23" x14ac:dyDescent="0.35">
      <c r="D197" s="22" t="s">
        <v>92</v>
      </c>
      <c r="E197" s="23" t="s">
        <v>162</v>
      </c>
      <c r="F197" s="23" t="s">
        <v>13</v>
      </c>
      <c r="G197" s="23"/>
      <c r="H197" s="34" t="e">
        <f>IF(Table2[[#This Row],[Capacity (net MWe)]]&lt;=50,"Micro",IF(Table2[[#This Row],[Capacity (net MWe)]]&lt;=500,"SMR","Large"))</f>
        <v>#VALUE!</v>
      </c>
      <c r="I197" s="23"/>
      <c r="J197" s="23">
        <v>1200</v>
      </c>
      <c r="K197" s="23"/>
      <c r="L197" s="38">
        <v>6</v>
      </c>
      <c r="M197" s="34">
        <v>12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4"/>
    </row>
    <row r="198" spans="4:23" x14ac:dyDescent="0.35">
      <c r="D198" s="25" t="s">
        <v>155</v>
      </c>
      <c r="E198" s="26" t="s">
        <v>163</v>
      </c>
      <c r="F198" s="26" t="s">
        <v>13</v>
      </c>
      <c r="G198" s="26"/>
      <c r="H198" s="29" t="e">
        <f>IF(Table2[[#This Row],[Capacity (net MWe)]]&lt;=50,"Micro",IF(Table2[[#This Row],[Capacity (net MWe)]]&lt;=500,"SMR","Large"))</f>
        <v>#VALUE!</v>
      </c>
      <c r="I198" s="26"/>
      <c r="J198" s="26">
        <v>1400</v>
      </c>
      <c r="K198" s="26"/>
      <c r="L198" s="38">
        <v>5</v>
      </c>
      <c r="M198" s="29">
        <v>10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7"/>
    </row>
    <row r="199" spans="4:23" x14ac:dyDescent="0.35">
      <c r="D199" s="22" t="s">
        <v>155</v>
      </c>
      <c r="E199" s="23" t="s">
        <v>164</v>
      </c>
      <c r="F199" s="23" t="s">
        <v>13</v>
      </c>
      <c r="G199" s="23"/>
      <c r="H199" s="34" t="e">
        <f>IF(Table2[[#This Row],[Capacity (net MWe)]]&lt;=50,"Micro",IF(Table2[[#This Row],[Capacity (net MWe)]]&lt;=500,"SMR","Large"))</f>
        <v>#VALUE!</v>
      </c>
      <c r="I199" s="23"/>
      <c r="J199" s="23">
        <v>1400</v>
      </c>
      <c r="K199" s="23"/>
      <c r="L199" s="38">
        <v>5</v>
      </c>
      <c r="M199" s="34">
        <v>11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4"/>
    </row>
    <row r="200" spans="4:23" x14ac:dyDescent="0.35">
      <c r="D200" s="25"/>
      <c r="E200" s="26"/>
      <c r="F200" s="26"/>
      <c r="G200" s="26"/>
      <c r="H200" s="29"/>
      <c r="I200" s="26"/>
      <c r="J200" s="26"/>
      <c r="K200" s="26"/>
      <c r="L200" s="38"/>
      <c r="M200" s="29"/>
      <c r="N200" s="26"/>
      <c r="O200" s="26"/>
      <c r="P200" s="26"/>
      <c r="Q200" s="26"/>
      <c r="R200" s="26"/>
      <c r="S200" s="26"/>
      <c r="T200" s="26"/>
      <c r="U200" s="26"/>
      <c r="V200" s="26"/>
      <c r="W200" s="27"/>
    </row>
    <row r="201" spans="4:23" x14ac:dyDescent="0.35">
      <c r="D201" s="22"/>
      <c r="E201" s="23"/>
      <c r="F201" s="23"/>
      <c r="G201" s="23"/>
      <c r="H201" s="34"/>
      <c r="I201" s="23"/>
      <c r="J201" s="23"/>
      <c r="K201" s="23"/>
      <c r="L201" s="38"/>
      <c r="M201" s="34"/>
      <c r="N201" s="23"/>
      <c r="O201" s="23"/>
      <c r="P201" s="23"/>
      <c r="Q201" s="23"/>
      <c r="R201" s="23"/>
      <c r="S201" s="23"/>
      <c r="T201" s="23"/>
      <c r="U201" s="23"/>
      <c r="V201" s="23"/>
      <c r="W201" s="24"/>
    </row>
  </sheetData>
  <phoneticPr fontId="7" type="noConversion"/>
  <hyperlinks>
    <hyperlink ref="I99" r:id="rId1" location="b48" display="https://www.sciencedirect.com/science/article/pii/S0360544223015980 - b48" xr:uid="{3E522870-69D7-44AB-8CD5-B24D820B5DFC}"/>
    <hyperlink ref="I72" r:id="rId2" location="b48" display="https://www.sciencedirect.com/science/article/pii/S0360544223015980 - b48" xr:uid="{C0ACFC95-F487-4126-A95A-F8F5187D2FBD}"/>
    <hyperlink ref="V38" r:id="rId3" xr:uid="{ED172526-0E97-43E2-A64D-DA907E360DFD}"/>
    <hyperlink ref="V39" r:id="rId4" xr:uid="{CF26CCAF-6057-4BA7-8AE8-BFCF016D1F25}"/>
  </hyperlinks>
  <pageMargins left="0.7" right="0.7" top="0.75" bottom="0.75" header="0.3" footer="0.3"/>
  <pageSetup paperSize="9" orientation="portrait" r:id="rId5"/>
  <drawing r:id="rId6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6B4C-4566-4DD0-BBF5-961906F8460F}">
  <dimension ref="B2:E10"/>
  <sheetViews>
    <sheetView workbookViewId="0">
      <selection activeCell="C16" sqref="C16"/>
    </sheetView>
  </sheetViews>
  <sheetFormatPr defaultRowHeight="14.5" x14ac:dyDescent="0.35"/>
  <cols>
    <col min="2" max="2" width="34.453125" bestFit="1" customWidth="1"/>
    <col min="3" max="4" width="12.54296875" customWidth="1"/>
  </cols>
  <sheetData>
    <row r="2" spans="2:5" x14ac:dyDescent="0.35">
      <c r="B2" t="s">
        <v>2</v>
      </c>
      <c r="C2" t="s">
        <v>3</v>
      </c>
    </row>
    <row r="5" spans="2:5" x14ac:dyDescent="0.35">
      <c r="B5" t="s">
        <v>107</v>
      </c>
      <c r="C5" t="s">
        <v>108</v>
      </c>
      <c r="D5" t="s">
        <v>109</v>
      </c>
    </row>
    <row r="6" spans="2:5" x14ac:dyDescent="0.35">
      <c r="B6" t="s">
        <v>110</v>
      </c>
      <c r="C6" t="s">
        <v>117</v>
      </c>
      <c r="D6" t="s">
        <v>118</v>
      </c>
    </row>
    <row r="7" spans="2:5" x14ac:dyDescent="0.35">
      <c r="B7" t="s">
        <v>111</v>
      </c>
      <c r="C7" t="s">
        <v>114</v>
      </c>
      <c r="D7" t="s">
        <v>115</v>
      </c>
      <c r="E7" t="s">
        <v>119</v>
      </c>
    </row>
    <row r="8" spans="2:5" x14ac:dyDescent="0.35">
      <c r="B8" t="s">
        <v>112</v>
      </c>
      <c r="C8" t="s">
        <v>122</v>
      </c>
      <c r="D8" t="s">
        <v>116</v>
      </c>
      <c r="E8" t="s">
        <v>120</v>
      </c>
    </row>
    <row r="9" spans="2:5" x14ac:dyDescent="0.35">
      <c r="B9" t="s">
        <v>113</v>
      </c>
      <c r="C9" t="s">
        <v>121</v>
      </c>
      <c r="D9" t="s">
        <v>116</v>
      </c>
    </row>
    <row r="10" spans="2:5" x14ac:dyDescent="0.35">
      <c r="B10" t="s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7481-5A06-4A8A-8A13-E91F891C2D2F}">
  <dimension ref="A2:D3"/>
  <sheetViews>
    <sheetView workbookViewId="0">
      <selection activeCell="D3" sqref="D3"/>
    </sheetView>
  </sheetViews>
  <sheetFormatPr defaultRowHeight="14.5" x14ac:dyDescent="0.35"/>
  <cols>
    <col min="1" max="1" width="2.54296875" bestFit="1" customWidth="1"/>
    <col min="3" max="3" width="14.26953125" bestFit="1" customWidth="1"/>
    <col min="4" max="4" width="5.81640625" bestFit="1" customWidth="1"/>
  </cols>
  <sheetData>
    <row r="2" spans="1:4" x14ac:dyDescent="0.35">
      <c r="A2" t="s">
        <v>136</v>
      </c>
      <c r="B2" t="s">
        <v>137</v>
      </c>
      <c r="C2" t="s">
        <v>138</v>
      </c>
      <c r="D2" t="s">
        <v>139</v>
      </c>
    </row>
    <row r="3" spans="1:4" x14ac:dyDescent="0.35">
      <c r="A3">
        <v>1</v>
      </c>
      <c r="B3">
        <f ca="1">RAND()*(0.15-0.04)+0.04</f>
        <v>0.14559154419010023</v>
      </c>
      <c r="C3">
        <f ca="1">IF(RAND()&lt;(0.9-0.75)/(0.95-0.75),0.75+SQRT(RAND()*(0.9-0.75)*(0.95-0.75)),0.95-SQRT((1-RAND())*(0.95-0.9)*(0.95-0.75)))</f>
        <v>0.84125789024431052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EF5DFF61A5A2E4186425FEA105E497F" ma:contentTypeVersion="11" ma:contentTypeDescription="Opprett et nytt dokument." ma:contentTypeScope="" ma:versionID="5889d7251965a5bf886eedff40393a9d">
  <xsd:schema xmlns:xsd="http://www.w3.org/2001/XMLSchema" xmlns:xs="http://www.w3.org/2001/XMLSchema" xmlns:p="http://schemas.microsoft.com/office/2006/metadata/properties" xmlns:ns3="022a34b1-9d82-4dd2-8ef7-65dd835f832c" xmlns:ns4="e404e11a-1b7c-46a4-be41-f958fe29f57e" targetNamespace="http://schemas.microsoft.com/office/2006/metadata/properties" ma:root="true" ma:fieldsID="2cc3e933e69588f52c8578e0e3109839" ns3:_="" ns4:_="">
    <xsd:import namespace="022a34b1-9d82-4dd2-8ef7-65dd835f832c"/>
    <xsd:import namespace="e404e11a-1b7c-46a4-be41-f958fe29f57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a34b1-9d82-4dd2-8ef7-65dd835f83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4e11a-1b7c-46a4-be41-f958fe29f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04e11a-1b7c-46a4-be41-f958fe29f57e" xsi:nil="true"/>
  </documentManagement>
</p:properties>
</file>

<file path=customXml/itemProps1.xml><?xml version="1.0" encoding="utf-8"?>
<ds:datastoreItem xmlns:ds="http://schemas.openxmlformats.org/officeDocument/2006/customXml" ds:itemID="{14D3CD77-C489-4EE9-BFD2-ED0E2707F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a34b1-9d82-4dd2-8ef7-65dd835f832c"/>
    <ds:schemaRef ds:uri="e404e11a-1b7c-46a4-be41-f958fe29f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E6B785-65A1-4A39-A7DA-3AAC95355A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096D1-AE55-4C5A-977F-80A54D8830AA}">
  <ds:schemaRefs>
    <ds:schemaRef ds:uri="e404e11a-1b7c-46a4-be41-f958fe29f57e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022a34b1-9d82-4dd2-8ef7-65dd835f832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Calculations</vt:lpstr>
      <vt:lpstr>monte carlo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Hordvei Fossli</dc:creator>
  <cp:lastModifiedBy>Anders H Fossli</cp:lastModifiedBy>
  <dcterms:created xsi:type="dcterms:W3CDTF">2025-09-16T12:36:03Z</dcterms:created>
  <dcterms:modified xsi:type="dcterms:W3CDTF">2025-12-08T10:39:59Z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0x0101009EF5DFF61A5A2E4186425FEA105E497F</vt:lpwstr>
  </property>
</Properties>
</file>