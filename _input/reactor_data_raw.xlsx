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410" documentId="8_{7696E0A4-7455-4CF4-88F8-3006FA44D15C}" xr6:coauthVersionLast="47" xr6:coauthVersionMax="47" xr10:uidLastSave="{3CDB361C-5F0B-42B5-B2EE-50F5FC43E1E0}"/>
  <bookViews>
    <workbookView xWindow="-110" yWindow="-110" windowWidth="21820" windowHeight="1390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 a="1"/>
  <c r="D56" i="1" s="1"/>
  <c r="F15" i="1"/>
  <c r="M154" i="1"/>
  <c r="M155" i="1"/>
  <c r="M156" i="1"/>
  <c r="M157" i="1"/>
  <c r="M158" i="1"/>
  <c r="M159" i="1"/>
  <c r="M160" i="1"/>
  <c r="M161" i="1"/>
  <c r="M162" i="1"/>
  <c r="M163" i="1"/>
  <c r="M153" i="1"/>
  <c r="F51" i="1"/>
  <c r="F52" i="1"/>
  <c r="F50" i="1"/>
  <c r="F49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4" i="1"/>
  <c r="F45" i="1"/>
  <c r="F46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7" i="1"/>
  <c r="F48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<sst xmlns="http://schemas.openxmlformats.org/spreadsheetml/2006/main" count="527" uniqueCount="202">
  <si>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</si>
  <si>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</si>
  <si>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</si>
  <si>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</si>
  <si>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</si>
  <si>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</si>
  <si>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</si>
  <si>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</si>
  <si>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</si>
  <si>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</si>
  <si>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</si>
  <si>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</si>
  <si>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</si>
  <si>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</si>
  <si>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</si>
  <si>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</si>
  <si>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</si>
  <si>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</si>
  <si>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</si>
  <si>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</si>
  <si>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</si>
  <si>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</si>
  <si>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</si>
  <si>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</si>
  <si>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</si>
  <si>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</si>
  <si>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</si>
  <si>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</si>
  <si>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</si>
  <si>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</si>
  <si>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</si>
  <si>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</si>
  <si>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</si>
  <si>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</si>
  <si>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</si>
  <si>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</si>
  <si>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</si>
  <si>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</si>
  <si>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</si>
  <si>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</si>
  <si>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</si>
  <si>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</si>
  <si>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</si>
  <si>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</si>
  <si>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</si>
  <si>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</si>
  <si>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</si>
  <si>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</si>
  <si>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</si>
  <si>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</si>
  <si>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</si>
  <si>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</si>
  <si>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</si>
  <si>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</si>
  <si>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</si>
  <si>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</si>
  <si>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</si>
  <si>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</si>
  <si>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</si>
  <si>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</si>
  <si>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</si>
  <si>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</si>
  <si>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</si>
  <si>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</si>
  <si>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</si>
  <si>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</si>
  <si>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</si>
  <si>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</si>
  <si>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</si>
  <si>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</si>
  <si>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</si>
  <si>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</si>
  <si>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</si>
  <si>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</si>
  <si>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</si>
  <si>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</si>
  <si>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</si>
  <si>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</si>
  <si>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</si>
  <si>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</si>
  <si>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</si>
  <si>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</si>
  <si>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</si>
  <si>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</si>
  <si>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</si>
  <si>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</si>
  <si>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</si>
  <si>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</si>
  <si>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</si>
  <si>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</si>
  <si>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</si>
  <si>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</si>
  <si>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</si>
  <si>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</si>
  <si>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</si>
  <si>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</si>
  <si>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</si>
  <si>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</si>
  <si>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</si>
  <si>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</si>
  <si>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</si>
  <si>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OCC (USD2020/kW)</t>
  </si>
  <si>
    <t>Lifetime (y)</t>
  </si>
  <si>
    <t>OPEX fixed (USD2020/MW-yr)</t>
  </si>
  <si>
    <t>Fuel (USD2020/MWh)</t>
  </si>
  <si>
    <t>Waste (USD2020/MWh)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</si>
  <si>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</si>
  <si>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</si>
  <si>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</si>
  <si>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</si>
  <si>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</si>
  <si>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</si>
  <si>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</si>
  <si>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</si>
  <si>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</si>
  <si>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</si>
  <si>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</si>
  <si>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</si>
  <si>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</si>
  <si>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</si>
  <si>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</si>
  <si>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</si>
  <si>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</si>
  <si>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</si>
  <si>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</si>
  <si>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</si>
  <si>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</si>
  <si>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</si>
  <si>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</si>
  <si>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</si>
  <si>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</si>
  <si>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</si>
  <si>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</si>
  <si>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</si>
  <si>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</si>
  <si>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</si>
  <si>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</si>
  <si>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</si>
  <si>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</si>
  <si>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</si>
  <si>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</si>
  <si>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</si>
  <si>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</si>
  <si>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</si>
  <si>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</si>
  <si>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</si>
  <si>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</si>
  <si>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</si>
  <si>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</si>
  <si>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</si>
  <si>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</si>
  <si>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</si>
  <si>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</si>
  <si>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</si>
  <si>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</si>
  <si>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</si>
  <si>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</si>
  <si>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</si>
  <si>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</si>
  <si>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</si>
  <si>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</si>
  <si>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</si>
  <si>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</si>
  <si>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</si>
  <si>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</si>
  <si>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OPEX variable (USD2025/MWh)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</si>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</sst>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3" fontId="7" fillId="0" borderId="0" xfId="0" applyNumberFormat="1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123200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54" insertRowShift="1" totalsRowShown="0">
  <autoFilter ref="B3:U54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USD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USD2020/MW-yr)"/>
    <tableColumn id="12" xr3:uid="{9FBD497D-93AE-4DA6-BB28-62105E15001C}" name="OPEX variable (USD2025/MWh)"/>
    <tableColumn id="13" xr3:uid="{DF71A38F-C60A-4154-8DF3-56D7A37367E5}" name="Fuel (USD2020/MWh)"/>
    <tableColumn id="14" xr3:uid="{F25DEC50-AF34-45F1-BDFF-4448D82043E2}" name="Waste (USD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V163"/>
  <sheetViews>
    <sheetView tabSelected="1" zoomScale="70" zoomScaleNormal="70" workbookViewId="0">
      <selection activeCell="D22" sqref="D22"/>
    </sheetView>
  </sheetViews>
  <sheetFormatPr defaultColWidth="12.26953125" defaultRowHeight="14.5" x14ac:dyDescent="0.35"/>
  <cols>
    <col min="1" max="1" width="3.1796875" customWidth="1"/>
    <col min="2" max="2" width="12.1796875" bestFit="1" customWidth="1"/>
    <col min="3" max="3" width="18.54296875" customWidth="1"/>
    <col min="4" max="4" width="16.453125" customWidth="1"/>
    <col min="5" max="5" width="13" bestFit="1" customWidth="1"/>
    <col min="6" max="6" width="27.7265625" customWidth="1"/>
    <col min="7" max="7" width="21.7265625" customWidth="1"/>
    <col min="8" max="8" width="27.54296875" customWidth="1"/>
    <col min="9" max="9" width="30.26953125" customWidth="1"/>
    <col min="10" max="10" width="38" customWidth="1"/>
    <col min="11" max="11" width="19.1796875" bestFit="1" customWidth="1"/>
    <col min="12" max="12" width="15.1796875" bestFit="1" customWidth="1"/>
    <col min="13" max="13" width="20.453125" bestFit="1" customWidth="1"/>
    <col min="14" max="14" width="22.453125" bestFit="1" customWidth="1"/>
    <col min="15" max="15" width="20.26953125" customWidth="1"/>
    <col min="16" max="16" width="21.1796875" bestFit="1" customWidth="1"/>
    <col min="17" max="17" width="34.453125" bestFit="1" customWidth="1"/>
    <col min="18" max="18" width="14.26953125" bestFit="1" customWidth="1"/>
    <col min="19" max="19" width="16.54296875" bestFit="1" customWidth="1"/>
  </cols>
  <sheetData>
    <row r="1" spans="2:21" x14ac:dyDescent="0.35">
      <c r="B1" t="s">
        <v>1</v>
      </c>
    </row>
    <row r="2" spans="2:21" x14ac:dyDescent="0.35">
      <c r="B2" t="s">
        <v>0</v>
      </c>
    </row>
    <row r="3" spans="2:21" x14ac:dyDescent="0.35">
      <c r="B3" t="s">
        <v>4</v>
      </c>
      <c r="C3" t="s">
        <v>31</v>
      </c>
      <c r="D3" t="s">
        <v>6</v>
      </c>
      <c r="E3" t="s">
        <v>99</v>
      </c>
      <c r="F3" t="s">
        <v>158</v>
      </c>
      <c r="G3" t="s">
        <v>147</v>
      </c>
      <c r="H3" t="s">
        <v>100</v>
      </c>
      <c r="I3" t="s">
        <v>101</v>
      </c>
      <c r="J3" t="s">
        <v>135</v>
      </c>
      <c r="K3" t="s">
        <v>134</v>
      </c>
      <c r="L3" t="s">
        <v>102</v>
      </c>
      <c r="M3" t="s">
        <v>7</v>
      </c>
      <c r="N3" t="s">
        <v>8</v>
      </c>
      <c r="O3" t="s">
        <v>103</v>
      </c>
      <c r="P3" t="s">
        <v>165</v>
      </c>
      <c r="Q3" t="s">
        <v>104</v>
      </c>
      <c r="R3" t="s">
        <v>105</v>
      </c>
      <c r="S3" t="s">
        <v>106</v>
      </c>
      <c r="T3" t="s">
        <v>9</v>
      </c>
      <c r="U3" t="s">
        <v>107</v>
      </c>
    </row>
    <row r="4" spans="2:21" x14ac:dyDescent="0.35">
      <c r="B4" t="s">
        <v>45</v>
      </c>
      <c r="C4" t="s">
        <v>10</v>
      </c>
      <c r="D4" t="s">
        <v>11</v>
      </c>
      <c r="E4" t="s">
        <v>146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v>2250</v>
      </c>
      <c r="J4" s="13">
        <v>3</v>
      </c>
      <c r="K4" t="s">
        <v>122</v>
      </c>
      <c r="L4">
        <v>60</v>
      </c>
      <c r="M4">
        <v>90</v>
      </c>
      <c r="N4" t="s">
        <v>108</v>
      </c>
      <c r="O4" s="14">
        <v>144365</v>
      </c>
      <c r="P4" s="15">
        <v>3.5</v>
      </c>
      <c r="Q4" s="15">
        <v>6.23</v>
      </c>
      <c r="R4" s="15">
        <v>1</v>
      </c>
      <c r="S4">
        <v>15</v>
      </c>
      <c r="T4" t="s">
        <v>109</v>
      </c>
      <c r="U4">
        <v>2020</v>
      </c>
    </row>
    <row r="5" spans="2:21" x14ac:dyDescent="0.35">
      <c r="B5" t="s">
        <v>54</v>
      </c>
      <c r="C5" t="s">
        <v>110</v>
      </c>
      <c r="D5" t="s">
        <v>13</v>
      </c>
      <c r="E5" t="s">
        <v>145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v>5215.9369999999999</v>
      </c>
      <c r="J5" s="13">
        <v>4</v>
      </c>
      <c r="K5" t="s">
        <v>122</v>
      </c>
      <c r="L5">
        <v>60</v>
      </c>
      <c r="M5">
        <v>90</v>
      </c>
      <c r="N5" t="s">
        <v>108</v>
      </c>
      <c r="O5" s="11">
        <v>518242</v>
      </c>
      <c r="P5" s="15">
        <v>3.5</v>
      </c>
      <c r="Q5">
        <v>6.23</v>
      </c>
      <c r="R5">
        <v>1</v>
      </c>
      <c r="S5">
        <v>15</v>
      </c>
      <c r="T5" t="s">
        <v>109</v>
      </c>
      <c r="U5">
        <v>2020</v>
      </c>
    </row>
    <row r="6" spans="2:21" x14ac:dyDescent="0.35">
      <c r="B6" t="s">
        <v>45</v>
      </c>
      <c r="C6" t="s">
        <v>15</v>
      </c>
      <c r="D6" t="s">
        <v>13</v>
      </c>
      <c r="E6" t="s">
        <v>133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v>6312.5</v>
      </c>
      <c r="J6" s="13">
        <v>3</v>
      </c>
      <c r="K6" t="s">
        <v>122</v>
      </c>
      <c r="L6">
        <v>80</v>
      </c>
      <c r="M6">
        <v>90</v>
      </c>
      <c r="N6" t="s">
        <v>108</v>
      </c>
      <c r="O6" s="11">
        <v>146645</v>
      </c>
      <c r="P6" s="15">
        <v>3.5</v>
      </c>
      <c r="Q6">
        <v>6.23</v>
      </c>
      <c r="R6">
        <v>1</v>
      </c>
      <c r="S6">
        <v>15</v>
      </c>
      <c r="T6" t="s">
        <v>109</v>
      </c>
      <c r="U6">
        <v>2020</v>
      </c>
    </row>
    <row r="7" spans="2:21" x14ac:dyDescent="0.35">
      <c r="B7" t="s">
        <v>159</v>
      </c>
      <c r="C7" t="s">
        <v>16</v>
      </c>
      <c r="D7" t="s">
        <v>13</v>
      </c>
      <c r="E7" t="s">
        <v>145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v>8000</v>
      </c>
      <c r="J7" s="13">
        <v>3</v>
      </c>
      <c r="K7" t="s">
        <v>122</v>
      </c>
      <c r="L7">
        <v>60</v>
      </c>
      <c r="M7">
        <v>90</v>
      </c>
      <c r="N7" t="s">
        <v>108</v>
      </c>
      <c r="O7" s="11">
        <v>65025</v>
      </c>
      <c r="P7" s="15">
        <v>3.5</v>
      </c>
      <c r="Q7">
        <v>5.31</v>
      </c>
      <c r="R7">
        <v>1</v>
      </c>
      <c r="S7">
        <v>15</v>
      </c>
      <c r="T7" t="s">
        <v>109</v>
      </c>
      <c r="U7">
        <v>2020</v>
      </c>
    </row>
    <row r="8" spans="2:21" x14ac:dyDescent="0.35">
      <c r="B8" t="s">
        <v>45</v>
      </c>
      <c r="C8" t="s">
        <v>17</v>
      </c>
      <c r="D8" t="s">
        <v>13</v>
      </c>
      <c r="E8" t="s">
        <v>146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v>3600</v>
      </c>
      <c r="J8" s="13">
        <v>3</v>
      </c>
      <c r="K8" t="s">
        <v>122</v>
      </c>
      <c r="L8">
        <v>60</v>
      </c>
      <c r="M8">
        <v>90</v>
      </c>
      <c r="N8" t="s">
        <v>108</v>
      </c>
      <c r="O8" s="11">
        <v>179595</v>
      </c>
      <c r="P8" s="15">
        <v>3.5</v>
      </c>
      <c r="Q8">
        <v>7.15</v>
      </c>
      <c r="R8">
        <v>1</v>
      </c>
      <c r="S8">
        <v>15</v>
      </c>
      <c r="T8" t="s">
        <v>109</v>
      </c>
      <c r="U8">
        <v>2020</v>
      </c>
    </row>
    <row r="9" spans="2:21" x14ac:dyDescent="0.35">
      <c r="B9" t="s">
        <v>92</v>
      </c>
      <c r="C9" t="s">
        <v>32</v>
      </c>
      <c r="D9" t="s">
        <v>13</v>
      </c>
      <c r="E9" t="s">
        <v>145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v>4212</v>
      </c>
      <c r="J9" s="13">
        <v>7</v>
      </c>
      <c r="K9" t="s">
        <v>122</v>
      </c>
      <c r="L9">
        <v>40</v>
      </c>
      <c r="M9">
        <v>90</v>
      </c>
      <c r="N9" t="s">
        <v>108</v>
      </c>
      <c r="O9" s="11">
        <v>170980</v>
      </c>
      <c r="P9" s="15">
        <v>3.5</v>
      </c>
      <c r="Q9">
        <v>6.23</v>
      </c>
      <c r="R9">
        <v>1</v>
      </c>
      <c r="S9">
        <v>15</v>
      </c>
      <c r="T9" t="s">
        <v>109</v>
      </c>
      <c r="U9">
        <v>2020</v>
      </c>
    </row>
    <row r="10" spans="2:21" x14ac:dyDescent="0.35">
      <c r="B10" t="s">
        <v>93</v>
      </c>
      <c r="C10" t="s">
        <v>33</v>
      </c>
      <c r="D10" t="s">
        <v>13</v>
      </c>
      <c r="E10" t="s">
        <v>145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v>8532</v>
      </c>
      <c r="J10" s="13">
        <v>3</v>
      </c>
      <c r="K10" t="s">
        <v>122</v>
      </c>
      <c r="L10">
        <v>40</v>
      </c>
      <c r="M10">
        <v>90</v>
      </c>
      <c r="N10" t="s">
        <v>108</v>
      </c>
      <c r="O10" s="11">
        <v>146645</v>
      </c>
      <c r="P10" s="15">
        <v>3.5</v>
      </c>
      <c r="Q10">
        <v>6.23</v>
      </c>
      <c r="R10">
        <v>1</v>
      </c>
      <c r="S10">
        <v>15</v>
      </c>
      <c r="T10" t="s">
        <v>109</v>
      </c>
      <c r="U10">
        <v>2020</v>
      </c>
    </row>
    <row r="11" spans="2:21" x14ac:dyDescent="0.35">
      <c r="B11" t="s">
        <v>92</v>
      </c>
      <c r="C11" t="s">
        <v>18</v>
      </c>
      <c r="D11" t="s">
        <v>13</v>
      </c>
      <c r="E11" t="s">
        <v>145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v>13531.429</v>
      </c>
      <c r="J11" s="13">
        <v>3</v>
      </c>
      <c r="K11">
        <v>13.1</v>
      </c>
      <c r="L11">
        <v>40</v>
      </c>
      <c r="M11">
        <v>90</v>
      </c>
      <c r="N11" t="s">
        <v>108</v>
      </c>
      <c r="O11" s="11">
        <v>170980</v>
      </c>
      <c r="P11" s="15">
        <v>3.5</v>
      </c>
      <c r="Q11">
        <v>6.23</v>
      </c>
      <c r="R11">
        <v>1</v>
      </c>
      <c r="S11">
        <v>15</v>
      </c>
      <c r="T11" t="s">
        <v>109</v>
      </c>
      <c r="U11">
        <v>2020</v>
      </c>
    </row>
    <row r="12" spans="2:21" x14ac:dyDescent="0.35">
      <c r="B12" t="s">
        <v>160</v>
      </c>
      <c r="C12" t="s">
        <v>19</v>
      </c>
      <c r="D12" t="s">
        <v>13</v>
      </c>
      <c r="E12" t="s">
        <v>145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v>23187.5</v>
      </c>
      <c r="J12" s="13">
        <v>3.5</v>
      </c>
      <c r="L12">
        <v>60</v>
      </c>
      <c r="M12">
        <v>90</v>
      </c>
      <c r="N12" t="s">
        <v>108</v>
      </c>
      <c r="O12" s="11">
        <v>146645</v>
      </c>
      <c r="P12" s="15">
        <v>3.5</v>
      </c>
      <c r="Q12">
        <v>6.23</v>
      </c>
      <c r="R12">
        <v>1</v>
      </c>
      <c r="S12">
        <v>15</v>
      </c>
      <c r="T12" t="s">
        <v>109</v>
      </c>
      <c r="U12">
        <v>2020</v>
      </c>
    </row>
    <row r="13" spans="2:21" x14ac:dyDescent="0.35">
      <c r="B13" t="s">
        <v>161</v>
      </c>
      <c r="C13" t="s">
        <v>20</v>
      </c>
      <c r="D13" t="s">
        <v>35</v>
      </c>
      <c r="E13" t="s">
        <v>145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v>4373.3</v>
      </c>
      <c r="J13" s="13">
        <f>42/12</f>
        <v>3.5</v>
      </c>
      <c r="L13">
        <v>60</v>
      </c>
      <c r="M13">
        <v>90</v>
      </c>
      <c r="N13" t="s">
        <v>108</v>
      </c>
      <c r="O13" s="11">
        <v>104340</v>
      </c>
      <c r="P13" s="15">
        <v>3.5</v>
      </c>
      <c r="Q13">
        <v>19.29</v>
      </c>
      <c r="R13">
        <v>1</v>
      </c>
      <c r="S13">
        <v>15</v>
      </c>
      <c r="T13" t="s">
        <v>109</v>
      </c>
      <c r="U13">
        <v>2020</v>
      </c>
    </row>
    <row r="14" spans="2:21" x14ac:dyDescent="0.35">
      <c r="B14" t="s">
        <v>93</v>
      </c>
      <c r="C14" t="s">
        <v>21</v>
      </c>
      <c r="D14" t="s">
        <v>35</v>
      </c>
      <c r="E14" t="s">
        <v>145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v>3270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108</v>
      </c>
      <c r="O14" s="11">
        <v>168920</v>
      </c>
      <c r="P14" s="15">
        <v>3.5</v>
      </c>
      <c r="Q14">
        <v>13.96</v>
      </c>
      <c r="R14">
        <v>1</v>
      </c>
      <c r="S14">
        <v>15</v>
      </c>
      <c r="T14" t="s">
        <v>109</v>
      </c>
      <c r="U14">
        <v>2020</v>
      </c>
    </row>
    <row r="15" spans="2:21" x14ac:dyDescent="0.35">
      <c r="B15" t="s">
        <v>201</v>
      </c>
      <c r="C15" t="s">
        <v>22</v>
      </c>
      <c r="D15" t="s">
        <v>36</v>
      </c>
      <c r="E15" t="s">
        <v>129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v>1734.3</v>
      </c>
      <c r="J15" s="13">
        <v>4</v>
      </c>
      <c r="K15" s="12"/>
      <c r="L15">
        <v>40</v>
      </c>
      <c r="M15">
        <v>90</v>
      </c>
      <c r="O15" s="22">
        <v>136630</v>
      </c>
      <c r="P15" s="15">
        <v>3.5</v>
      </c>
      <c r="Q15">
        <v>8.6300000000000008</v>
      </c>
      <c r="R15">
        <v>1</v>
      </c>
      <c r="S15">
        <v>15</v>
      </c>
      <c r="T15" t="s">
        <v>109</v>
      </c>
      <c r="U15">
        <v>2020</v>
      </c>
    </row>
    <row r="16" spans="2:21" x14ac:dyDescent="0.35">
      <c r="B16" t="s">
        <v>91</v>
      </c>
      <c r="C16" t="s">
        <v>23</v>
      </c>
      <c r="D16" t="s">
        <v>37</v>
      </c>
      <c r="E16" t="s">
        <v>145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v>5050</v>
      </c>
      <c r="J16" s="13">
        <v>2.8</v>
      </c>
      <c r="L16">
        <v>60</v>
      </c>
      <c r="M16">
        <v>90</v>
      </c>
      <c r="N16" t="s">
        <v>108</v>
      </c>
      <c r="O16" s="11">
        <v>130750</v>
      </c>
      <c r="P16" s="15">
        <v>3.5</v>
      </c>
      <c r="Q16">
        <v>78.040000000000006</v>
      </c>
      <c r="R16">
        <v>1</v>
      </c>
      <c r="S16">
        <v>15</v>
      </c>
      <c r="T16" t="s">
        <v>109</v>
      </c>
      <c r="U16">
        <v>2020</v>
      </c>
    </row>
    <row r="17" spans="2:21" x14ac:dyDescent="0.35">
      <c r="B17" t="s">
        <v>93</v>
      </c>
      <c r="C17" t="s">
        <v>24</v>
      </c>
      <c r="D17" t="s">
        <v>37</v>
      </c>
      <c r="E17" t="s">
        <v>145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v>19350</v>
      </c>
      <c r="J17" s="13">
        <v>3</v>
      </c>
      <c r="K17">
        <v>12.4</v>
      </c>
      <c r="L17">
        <v>30</v>
      </c>
      <c r="M17">
        <v>90</v>
      </c>
      <c r="N17" t="s">
        <v>108</v>
      </c>
      <c r="O17" s="11">
        <v>130750</v>
      </c>
      <c r="P17" s="15">
        <v>3.5</v>
      </c>
      <c r="Q17">
        <v>113.05</v>
      </c>
      <c r="R17">
        <v>1</v>
      </c>
      <c r="S17">
        <v>15</v>
      </c>
      <c r="T17" t="s">
        <v>109</v>
      </c>
      <c r="U17">
        <v>2020</v>
      </c>
    </row>
    <row r="18" spans="2:21" x14ac:dyDescent="0.35">
      <c r="B18" t="s">
        <v>162</v>
      </c>
      <c r="C18" t="s">
        <v>25</v>
      </c>
      <c r="D18" t="s">
        <v>37</v>
      </c>
      <c r="E18" t="s">
        <v>145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v>6900</v>
      </c>
      <c r="J18" s="13">
        <v>3</v>
      </c>
      <c r="L18">
        <v>30</v>
      </c>
      <c r="M18">
        <v>90</v>
      </c>
      <c r="N18" t="s">
        <v>108</v>
      </c>
      <c r="O18" s="11">
        <v>130750</v>
      </c>
      <c r="P18" s="15">
        <v>3.5</v>
      </c>
      <c r="Q18">
        <v>23.86</v>
      </c>
      <c r="R18">
        <v>1</v>
      </c>
      <c r="S18">
        <v>15</v>
      </c>
      <c r="T18" t="s">
        <v>109</v>
      </c>
      <c r="U18">
        <v>2020</v>
      </c>
    </row>
    <row r="19" spans="2:21" x14ac:dyDescent="0.35">
      <c r="B19" t="s">
        <v>91</v>
      </c>
      <c r="C19" t="s">
        <v>26</v>
      </c>
      <c r="D19" t="s">
        <v>38</v>
      </c>
      <c r="E19" t="s">
        <v>133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v>4054.2660000000001</v>
      </c>
      <c r="J19" s="13">
        <v>4</v>
      </c>
      <c r="L19">
        <v>60</v>
      </c>
      <c r="M19">
        <v>90</v>
      </c>
      <c r="N19" t="s">
        <v>108</v>
      </c>
      <c r="O19" s="11">
        <v>180512</v>
      </c>
      <c r="P19" s="15">
        <v>3.5</v>
      </c>
      <c r="Q19">
        <v>8.94</v>
      </c>
      <c r="R19">
        <v>1</v>
      </c>
      <c r="S19">
        <v>15</v>
      </c>
      <c r="T19" t="s">
        <v>109</v>
      </c>
      <c r="U19">
        <v>2020</v>
      </c>
    </row>
    <row r="20" spans="2:21" x14ac:dyDescent="0.35">
      <c r="B20" t="s">
        <v>91</v>
      </c>
      <c r="C20" t="s">
        <v>27</v>
      </c>
      <c r="D20" t="s">
        <v>39</v>
      </c>
      <c r="E20" t="s">
        <v>133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v>1950</v>
      </c>
      <c r="J20" s="13">
        <v>3</v>
      </c>
      <c r="L20">
        <v>60</v>
      </c>
      <c r="M20">
        <v>90</v>
      </c>
      <c r="N20" t="s">
        <v>108</v>
      </c>
      <c r="O20" s="11">
        <v>130750</v>
      </c>
      <c r="P20" s="15">
        <v>3.5</v>
      </c>
      <c r="Q20">
        <v>29.55</v>
      </c>
      <c r="R20">
        <v>1</v>
      </c>
      <c r="S20">
        <v>15</v>
      </c>
      <c r="T20" t="s">
        <v>109</v>
      </c>
      <c r="U20">
        <v>2020</v>
      </c>
    </row>
    <row r="21" spans="2:21" x14ac:dyDescent="0.35">
      <c r="B21" t="s">
        <v>45</v>
      </c>
      <c r="C21" t="s">
        <v>28</v>
      </c>
      <c r="D21" t="s">
        <v>40</v>
      </c>
      <c r="E21" t="s">
        <v>133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v>5771.4290000000001</v>
      </c>
      <c r="J21" s="13">
        <v>3</v>
      </c>
      <c r="L21">
        <v>60</v>
      </c>
      <c r="M21">
        <v>90</v>
      </c>
      <c r="N21" t="s">
        <v>108</v>
      </c>
      <c r="O21" s="11">
        <v>130750</v>
      </c>
      <c r="P21" s="15">
        <v>3.5</v>
      </c>
      <c r="Q21">
        <v>29.55</v>
      </c>
      <c r="R21">
        <v>1</v>
      </c>
      <c r="S21">
        <v>15</v>
      </c>
      <c r="T21" t="s">
        <v>109</v>
      </c>
      <c r="U21">
        <v>2020</v>
      </c>
    </row>
    <row r="22" spans="2:21" x14ac:dyDescent="0.35">
      <c r="B22" t="s">
        <v>92</v>
      </c>
      <c r="C22" t="s">
        <v>29</v>
      </c>
      <c r="D22" t="s">
        <v>43</v>
      </c>
      <c r="E22" t="s">
        <v>133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v>4160</v>
      </c>
      <c r="J22" s="13">
        <v>3</v>
      </c>
      <c r="L22">
        <v>30</v>
      </c>
      <c r="M22">
        <v>90</v>
      </c>
      <c r="N22" t="s">
        <v>108</v>
      </c>
      <c r="O22" s="11">
        <v>130750</v>
      </c>
      <c r="P22" s="15">
        <v>3.5</v>
      </c>
      <c r="Q22">
        <v>29.55</v>
      </c>
      <c r="R22">
        <v>1</v>
      </c>
      <c r="S22">
        <v>15</v>
      </c>
      <c r="T22" t="s">
        <v>109</v>
      </c>
      <c r="U22">
        <v>2020</v>
      </c>
    </row>
    <row r="23" spans="2:21" ht="29" x14ac:dyDescent="0.35">
      <c r="B23" s="12" t="s">
        <v>45</v>
      </c>
      <c r="C23" s="12" t="s">
        <v>46</v>
      </c>
      <c r="D23" s="12" t="s">
        <v>11</v>
      </c>
      <c r="E23" s="12" t="s">
        <v>129</v>
      </c>
      <c r="F23" s="12" t="str">
        <f>IF(Table2[[#This Row],[Capacity (net MWe)]]&lt;=50,"Micro",IF(Table2[[#This Row],[Capacity (net MWe)]]&lt;=500,"SMR","Large"))</f>
        <v>Large</v>
      </c>
      <c r="G23" s="12"/>
      <c r="H23" s="12">
        <v>935</v>
      </c>
      <c r="I23" s="12">
        <v>9723</v>
      </c>
      <c r="J23" s="17">
        <v>5</v>
      </c>
      <c r="K23" s="12">
        <v>12.1</v>
      </c>
      <c r="L23" s="12">
        <v>40</v>
      </c>
      <c r="M23">
        <v>90</v>
      </c>
      <c r="N23" s="12" t="s">
        <v>108</v>
      </c>
      <c r="O23" s="11">
        <v>100000</v>
      </c>
      <c r="P23">
        <v>5</v>
      </c>
      <c r="Q23">
        <v>20</v>
      </c>
      <c r="R23">
        <v>1</v>
      </c>
      <c r="S23" s="12">
        <v>15</v>
      </c>
      <c r="T23" s="12" t="s">
        <v>130</v>
      </c>
      <c r="U23" s="12">
        <v>1987</v>
      </c>
    </row>
    <row r="24" spans="2:21" ht="29" x14ac:dyDescent="0.35">
      <c r="B24" s="12" t="s">
        <v>45</v>
      </c>
      <c r="C24" s="12" t="s">
        <v>131</v>
      </c>
      <c r="D24" s="12" t="s">
        <v>11</v>
      </c>
      <c r="E24" s="12" t="s">
        <v>129</v>
      </c>
      <c r="F24" s="12" t="str">
        <f>IF(Table2[[#This Row],[Capacity (net MWe)]]&lt;=50,"Micro",IF(Table2[[#This Row],[Capacity (net MWe)]]&lt;=500,"SMR","Large"))</f>
        <v>Large</v>
      </c>
      <c r="G24" s="12"/>
      <c r="H24" s="12">
        <v>1053</v>
      </c>
      <c r="I24" s="12">
        <v>10608</v>
      </c>
      <c r="J24" s="17">
        <v>5</v>
      </c>
      <c r="K24" s="12">
        <v>16</v>
      </c>
      <c r="L24" s="12">
        <v>40</v>
      </c>
      <c r="M24">
        <v>90</v>
      </c>
      <c r="N24" s="12" t="s">
        <v>108</v>
      </c>
      <c r="O24" s="11">
        <v>100000</v>
      </c>
      <c r="P24">
        <v>5</v>
      </c>
      <c r="Q24">
        <v>20</v>
      </c>
      <c r="R24">
        <v>1</v>
      </c>
      <c r="S24" s="12">
        <v>15</v>
      </c>
      <c r="T24" s="12" t="s">
        <v>130</v>
      </c>
      <c r="U24" s="12">
        <v>1986</v>
      </c>
    </row>
    <row r="25" spans="2:21" ht="29" x14ac:dyDescent="0.35">
      <c r="B25" s="12" t="s">
        <v>45</v>
      </c>
      <c r="C25" s="12" t="s">
        <v>48</v>
      </c>
      <c r="D25" s="12" t="s">
        <v>11</v>
      </c>
      <c r="E25" s="12" t="s">
        <v>129</v>
      </c>
      <c r="F25" s="12" t="str">
        <f>IF(Table2[[#This Row],[Capacity (net MWe)]]&lt;=50,"Micro",IF(Table2[[#This Row],[Capacity (net MWe)]]&lt;=500,"SMR","Large"))</f>
        <v>Large</v>
      </c>
      <c r="G25" s="12"/>
      <c r="H25" s="12">
        <v>919</v>
      </c>
      <c r="I25" s="12">
        <v>8974</v>
      </c>
      <c r="J25" s="17">
        <v>6.5</v>
      </c>
      <c r="K25" s="12">
        <v>9.3000000000000007</v>
      </c>
      <c r="L25" s="12">
        <v>40</v>
      </c>
      <c r="M25">
        <v>90</v>
      </c>
      <c r="N25" s="12" t="s">
        <v>108</v>
      </c>
      <c r="O25" s="11">
        <v>100000</v>
      </c>
      <c r="P25">
        <v>5</v>
      </c>
      <c r="Q25">
        <v>20</v>
      </c>
      <c r="R25">
        <v>1</v>
      </c>
      <c r="S25" s="12">
        <v>15</v>
      </c>
      <c r="T25" s="12" t="s">
        <v>130</v>
      </c>
      <c r="U25" s="12">
        <v>1985</v>
      </c>
    </row>
    <row r="26" spans="2:21" x14ac:dyDescent="0.35">
      <c r="B26" s="12" t="s">
        <v>163</v>
      </c>
      <c r="C26" s="12" t="s">
        <v>149</v>
      </c>
      <c r="D26" s="12" t="s">
        <v>13</v>
      </c>
      <c r="E26" s="12" t="s">
        <v>129</v>
      </c>
      <c r="F26" s="12" t="str">
        <f>IF(Table2[[#This Row],[Capacity (net MWe)]]&lt;=50,"Micro",IF(Table2[[#This Row],[Capacity (net MWe)]]&lt;=500,"SMR","Large"))</f>
        <v>Large</v>
      </c>
      <c r="G26" s="12"/>
      <c r="H26" s="12">
        <v>1600</v>
      </c>
      <c r="I26" s="12">
        <v>7983</v>
      </c>
      <c r="J26" s="17">
        <v>5</v>
      </c>
      <c r="K26" s="12">
        <v>17</v>
      </c>
      <c r="L26" s="12">
        <v>60</v>
      </c>
      <c r="M26">
        <v>90</v>
      </c>
      <c r="N26" s="12" t="s">
        <v>108</v>
      </c>
      <c r="O26" s="11">
        <v>100000</v>
      </c>
      <c r="P26">
        <v>5</v>
      </c>
      <c r="Q26">
        <v>20</v>
      </c>
      <c r="R26">
        <v>1</v>
      </c>
      <c r="S26" s="12">
        <v>15</v>
      </c>
      <c r="T26" s="12" t="s">
        <v>132</v>
      </c>
      <c r="U26" s="12">
        <v>2022</v>
      </c>
    </row>
    <row r="27" spans="2:21" x14ac:dyDescent="0.35">
      <c r="B27" s="12" t="s">
        <v>163</v>
      </c>
      <c r="C27" s="12" t="s">
        <v>150</v>
      </c>
      <c r="D27" s="12" t="s">
        <v>13</v>
      </c>
      <c r="E27" s="12" t="s">
        <v>129</v>
      </c>
      <c r="F27" s="12" t="str">
        <f>IF(Table2[[#This Row],[Capacity (net MWe)]]&lt;=50,"Micro",IF(Table2[[#This Row],[Capacity (net MWe)]]&lt;=500,"SMR","Large"))</f>
        <v>Large</v>
      </c>
      <c r="G27" s="12"/>
      <c r="H27" s="12">
        <v>1630</v>
      </c>
      <c r="I27" s="12">
        <v>5733</v>
      </c>
      <c r="J27" s="17">
        <v>5</v>
      </c>
      <c r="K27" s="12">
        <v>17</v>
      </c>
      <c r="L27" s="12">
        <v>60</v>
      </c>
      <c r="M27">
        <v>90</v>
      </c>
      <c r="N27" s="12" t="s">
        <v>108</v>
      </c>
      <c r="O27" s="11">
        <v>100000</v>
      </c>
      <c r="P27">
        <v>5</v>
      </c>
      <c r="Q27">
        <v>20</v>
      </c>
      <c r="R27">
        <v>1</v>
      </c>
      <c r="S27" s="12">
        <v>15</v>
      </c>
      <c r="T27" s="12" t="s">
        <v>132</v>
      </c>
      <c r="U27" s="12">
        <v>2022</v>
      </c>
    </row>
    <row r="28" spans="2:21" x14ac:dyDescent="0.35">
      <c r="B28" s="12" t="s">
        <v>164</v>
      </c>
      <c r="C28" s="12" t="s">
        <v>151</v>
      </c>
      <c r="D28" s="12" t="s">
        <v>13</v>
      </c>
      <c r="E28" s="12" t="s">
        <v>129</v>
      </c>
      <c r="F28" s="12" t="str">
        <f>IF(Table2[[#This Row],[Capacity (net MWe)]]&lt;=50,"Micro",IF(Table2[[#This Row],[Capacity (net MWe)]]&lt;=500,"SMR","Large"))</f>
        <v>Large</v>
      </c>
      <c r="G28" s="12"/>
      <c r="H28" s="12">
        <v>1600</v>
      </c>
      <c r="I28" s="12">
        <v>9270</v>
      </c>
      <c r="J28" s="17">
        <v>5</v>
      </c>
      <c r="K28" s="12">
        <v>17.100000000000001</v>
      </c>
      <c r="L28" s="12">
        <v>60</v>
      </c>
      <c r="M28">
        <v>90</v>
      </c>
      <c r="N28" s="12" t="s">
        <v>108</v>
      </c>
      <c r="O28" s="11">
        <v>100000</v>
      </c>
      <c r="P28">
        <v>5</v>
      </c>
      <c r="Q28">
        <v>20</v>
      </c>
      <c r="R28">
        <v>1</v>
      </c>
      <c r="S28" s="12">
        <v>15</v>
      </c>
      <c r="T28" s="12" t="s">
        <v>132</v>
      </c>
      <c r="U28" s="12">
        <v>2024</v>
      </c>
    </row>
    <row r="29" spans="2:21" x14ac:dyDescent="0.35">
      <c r="B29" s="12" t="s">
        <v>164</v>
      </c>
      <c r="C29" s="12" t="s">
        <v>152</v>
      </c>
      <c r="D29" s="12" t="s">
        <v>13</v>
      </c>
      <c r="E29" s="12" t="s">
        <v>129</v>
      </c>
      <c r="F29" s="12" t="str">
        <f>IF(Table2[[#This Row],[Capacity (net MWe)]]&lt;=50,"Micro",IF(Table2[[#This Row],[Capacity (net MWe)]]&lt;=500,"SMR","Large"))</f>
        <v>Large</v>
      </c>
      <c r="G29" s="12"/>
      <c r="H29" s="12">
        <v>1600</v>
      </c>
      <c r="I29" s="12">
        <v>8620</v>
      </c>
      <c r="J29" s="17">
        <v>5</v>
      </c>
      <c r="K29" s="12">
        <v>17.100000000000001</v>
      </c>
      <c r="L29" s="12">
        <v>60</v>
      </c>
      <c r="M29">
        <v>90</v>
      </c>
      <c r="N29" s="12" t="s">
        <v>108</v>
      </c>
      <c r="O29" s="11">
        <v>100000</v>
      </c>
      <c r="P29">
        <v>5</v>
      </c>
      <c r="Q29">
        <v>20</v>
      </c>
      <c r="R29">
        <v>1</v>
      </c>
      <c r="S29" s="12">
        <v>15</v>
      </c>
      <c r="T29" s="12" t="s">
        <v>132</v>
      </c>
      <c r="U29" s="12">
        <v>2024</v>
      </c>
    </row>
    <row r="30" spans="2:21" x14ac:dyDescent="0.35">
      <c r="B30" s="12" t="s">
        <v>54</v>
      </c>
      <c r="C30" s="12" t="s">
        <v>55</v>
      </c>
      <c r="D30" s="12" t="s">
        <v>13</v>
      </c>
      <c r="E30" s="12" t="s">
        <v>129</v>
      </c>
      <c r="F30" s="12" t="str">
        <f>IF(Table2[[#This Row],[Capacity (net MWe)]]&lt;=50,"Micro",IF(Table2[[#This Row],[Capacity (net MWe)]]&lt;=500,"SMR","Large"))</f>
        <v>Large</v>
      </c>
      <c r="G30" s="12"/>
      <c r="H30" s="12">
        <v>1630</v>
      </c>
      <c r="I30" s="12">
        <v>8549</v>
      </c>
      <c r="J30" s="17">
        <v>7</v>
      </c>
      <c r="K30" s="12"/>
      <c r="L30" s="12">
        <v>60</v>
      </c>
      <c r="M30">
        <v>90</v>
      </c>
      <c r="N30" s="12" t="s">
        <v>108</v>
      </c>
      <c r="O30" s="11">
        <v>100000</v>
      </c>
      <c r="P30">
        <v>5</v>
      </c>
      <c r="Q30">
        <v>20</v>
      </c>
      <c r="R30">
        <v>1</v>
      </c>
      <c r="S30" s="12">
        <v>15</v>
      </c>
      <c r="T30" s="12" t="s">
        <v>132</v>
      </c>
      <c r="U30" s="12">
        <v>2025</v>
      </c>
    </row>
    <row r="31" spans="2:21" x14ac:dyDescent="0.35">
      <c r="B31" s="12" t="s">
        <v>54</v>
      </c>
      <c r="C31" s="12" t="s">
        <v>57</v>
      </c>
      <c r="D31" s="12" t="s">
        <v>13</v>
      </c>
      <c r="E31" s="12" t="s">
        <v>129</v>
      </c>
      <c r="F31" s="12" t="str">
        <f>IF(Table2[[#This Row],[Capacity (net MWe)]]&lt;=50,"Micro",IF(Table2[[#This Row],[Capacity (net MWe)]]&lt;=500,"SMR","Large"))</f>
        <v>Large</v>
      </c>
      <c r="G31" s="12"/>
      <c r="H31" s="12">
        <v>1630</v>
      </c>
      <c r="I31" s="12">
        <v>8549</v>
      </c>
      <c r="J31" s="17">
        <v>7</v>
      </c>
      <c r="K31" s="12"/>
      <c r="L31" s="12">
        <v>60</v>
      </c>
      <c r="M31">
        <v>90</v>
      </c>
      <c r="N31" s="12" t="s">
        <v>108</v>
      </c>
      <c r="O31" s="11">
        <v>100000</v>
      </c>
      <c r="P31">
        <v>5</v>
      </c>
      <c r="Q31">
        <v>20</v>
      </c>
      <c r="R31">
        <v>1</v>
      </c>
      <c r="S31" s="12">
        <v>15</v>
      </c>
      <c r="T31" s="12" t="s">
        <v>132</v>
      </c>
      <c r="U31" s="12">
        <v>2025</v>
      </c>
    </row>
    <row r="32" spans="2:21" x14ac:dyDescent="0.35">
      <c r="B32" s="12" t="s">
        <v>45</v>
      </c>
      <c r="C32" s="12" t="s">
        <v>153</v>
      </c>
      <c r="D32" s="12" t="s">
        <v>13</v>
      </c>
      <c r="E32" s="12" t="s">
        <v>129</v>
      </c>
      <c r="F32" s="12" t="str">
        <f>IF(Table2[[#This Row],[Capacity (net MWe)]]&lt;=50,"Micro",IF(Table2[[#This Row],[Capacity (net MWe)]]&lt;=500,"SMR","Large"))</f>
        <v>Large</v>
      </c>
      <c r="G32" s="12"/>
      <c r="H32" s="12">
        <v>1117</v>
      </c>
      <c r="I32" s="12">
        <v>11330</v>
      </c>
      <c r="J32" s="17">
        <v>4</v>
      </c>
      <c r="K32" s="12">
        <v>14</v>
      </c>
      <c r="L32" s="12">
        <v>60</v>
      </c>
      <c r="M32">
        <v>90</v>
      </c>
      <c r="N32" s="12" t="s">
        <v>108</v>
      </c>
      <c r="O32" s="11">
        <v>100000</v>
      </c>
      <c r="P32">
        <v>5</v>
      </c>
      <c r="Q32">
        <v>20</v>
      </c>
      <c r="R32">
        <v>1</v>
      </c>
      <c r="S32" s="12">
        <v>15</v>
      </c>
      <c r="T32" s="12" t="s">
        <v>132</v>
      </c>
      <c r="U32" s="12">
        <v>2023</v>
      </c>
    </row>
    <row r="33" spans="2:22" x14ac:dyDescent="0.35">
      <c r="B33" s="12" t="s">
        <v>45</v>
      </c>
      <c r="C33" s="12" t="s">
        <v>154</v>
      </c>
      <c r="D33" s="12" t="s">
        <v>13</v>
      </c>
      <c r="E33" s="12" t="s">
        <v>129</v>
      </c>
      <c r="F33" s="12" t="str">
        <f>IF(Table2[[#This Row],[Capacity (net MWe)]]&lt;=50,"Micro",IF(Table2[[#This Row],[Capacity (net MWe)]]&lt;=500,"SMR","Large"))</f>
        <v>Large</v>
      </c>
      <c r="G33" s="12"/>
      <c r="H33" s="12">
        <v>1117</v>
      </c>
      <c r="I33" s="12">
        <v>11330</v>
      </c>
      <c r="J33" s="17">
        <v>4</v>
      </c>
      <c r="K33" s="12">
        <v>15</v>
      </c>
      <c r="L33" s="12">
        <v>60</v>
      </c>
      <c r="M33">
        <v>90</v>
      </c>
      <c r="N33" s="12" t="s">
        <v>108</v>
      </c>
      <c r="O33" s="11">
        <v>100000</v>
      </c>
      <c r="P33">
        <v>5</v>
      </c>
      <c r="Q33">
        <v>20</v>
      </c>
      <c r="R33">
        <v>1</v>
      </c>
      <c r="S33" s="12">
        <v>15</v>
      </c>
      <c r="T33" s="12" t="s">
        <v>132</v>
      </c>
      <c r="U33" s="12">
        <v>2024</v>
      </c>
    </row>
    <row r="34" spans="2:22" x14ac:dyDescent="0.35">
      <c r="B34" s="12" t="s">
        <v>45</v>
      </c>
      <c r="C34" s="12" t="s">
        <v>155</v>
      </c>
      <c r="D34" s="12" t="s">
        <v>13</v>
      </c>
      <c r="E34" s="12" t="s">
        <v>129</v>
      </c>
      <c r="F34" s="12" t="str">
        <f>IF(Table2[[#This Row],[Capacity (net MWe)]]&lt;=50,"Micro",IF(Table2[[#This Row],[Capacity (net MWe)]]&lt;=500,"SMR","Large"))</f>
        <v>Large</v>
      </c>
      <c r="G34" s="12"/>
      <c r="H34" s="12">
        <v>1117</v>
      </c>
      <c r="I34" s="12">
        <v>8600</v>
      </c>
      <c r="J34" s="17">
        <v>4</v>
      </c>
      <c r="K34" s="12">
        <v>14</v>
      </c>
      <c r="L34" s="12">
        <v>60</v>
      </c>
      <c r="M34">
        <v>90</v>
      </c>
      <c r="N34" s="12" t="s">
        <v>108</v>
      </c>
      <c r="O34" s="11">
        <v>100000</v>
      </c>
      <c r="P34">
        <v>5</v>
      </c>
      <c r="Q34">
        <v>20</v>
      </c>
      <c r="R34">
        <v>1</v>
      </c>
      <c r="S34" s="12">
        <v>15</v>
      </c>
      <c r="T34" s="12" t="s">
        <v>132</v>
      </c>
      <c r="U34" s="12">
        <v>2023</v>
      </c>
    </row>
    <row r="35" spans="2:22" x14ac:dyDescent="0.35">
      <c r="B35" s="12" t="s">
        <v>45</v>
      </c>
      <c r="C35" s="12" t="s">
        <v>156</v>
      </c>
      <c r="D35" s="12" t="s">
        <v>13</v>
      </c>
      <c r="E35" s="12" t="s">
        <v>129</v>
      </c>
      <c r="F35" s="12" t="str">
        <f>IF(Table2[[#This Row],[Capacity (net MWe)]]&lt;=50,"Micro",IF(Table2[[#This Row],[Capacity (net MWe)]]&lt;=500,"SMR","Large"))</f>
        <v>Large</v>
      </c>
      <c r="G35" s="12"/>
      <c r="H35" s="12">
        <v>1117</v>
      </c>
      <c r="I35" s="12">
        <v>8600</v>
      </c>
      <c r="J35" s="17">
        <v>4</v>
      </c>
      <c r="K35" s="12">
        <v>15</v>
      </c>
      <c r="L35" s="12">
        <v>60</v>
      </c>
      <c r="M35">
        <v>90</v>
      </c>
      <c r="N35" s="12" t="s">
        <v>108</v>
      </c>
      <c r="O35" s="11">
        <v>100000</v>
      </c>
      <c r="P35">
        <v>5</v>
      </c>
      <c r="Q35">
        <v>20</v>
      </c>
      <c r="R35">
        <v>1</v>
      </c>
      <c r="S35" s="12">
        <v>15</v>
      </c>
      <c r="T35" s="12" t="s">
        <v>132</v>
      </c>
      <c r="U35" s="12">
        <v>2024</v>
      </c>
    </row>
    <row r="36" spans="2:22" x14ac:dyDescent="0.35">
      <c r="B36" s="12" t="s">
        <v>159</v>
      </c>
      <c r="C36" s="12" t="s">
        <v>137</v>
      </c>
      <c r="D36" s="12" t="s">
        <v>13</v>
      </c>
      <c r="E36" s="12" t="s">
        <v>133</v>
      </c>
      <c r="F36" s="12" t="str">
        <f>IF(Table2[[#This Row],[Capacity (net MWe)]]&lt;=50,"Micro",IF(Table2[[#This Row],[Capacity (net MWe)]]&lt;=500,"SMR","Large"))</f>
        <v>Large</v>
      </c>
      <c r="G36" s="12"/>
      <c r="H36" s="12">
        <v>1340</v>
      </c>
      <c r="I36" s="12">
        <v>2410</v>
      </c>
      <c r="J36" s="17">
        <v>5</v>
      </c>
      <c r="K36" s="12">
        <v>8.18</v>
      </c>
      <c r="L36" s="12">
        <v>60</v>
      </c>
      <c r="M36">
        <v>90</v>
      </c>
      <c r="N36" s="12" t="s">
        <v>108</v>
      </c>
      <c r="O36" s="11">
        <v>100000</v>
      </c>
      <c r="P36">
        <v>5</v>
      </c>
      <c r="Q36">
        <v>20</v>
      </c>
      <c r="R36">
        <v>1</v>
      </c>
      <c r="S36" s="12">
        <v>15</v>
      </c>
      <c r="T36" s="12" t="s">
        <v>132</v>
      </c>
      <c r="U36" s="12">
        <v>2016</v>
      </c>
    </row>
    <row r="37" spans="2:22" x14ac:dyDescent="0.35">
      <c r="B37" s="12" t="s">
        <v>159</v>
      </c>
      <c r="C37" s="12" t="s">
        <v>136</v>
      </c>
      <c r="D37" s="12" t="s">
        <v>13</v>
      </c>
      <c r="E37" s="12" t="s">
        <v>133</v>
      </c>
      <c r="F37" s="12" t="str">
        <f>IF(Table2[[#This Row],[Capacity (net MWe)]]&lt;=50,"Micro",IF(Table2[[#This Row],[Capacity (net MWe)]]&lt;=500,"SMR","Large"))</f>
        <v>Large</v>
      </c>
      <c r="G37" s="12"/>
      <c r="H37" s="12">
        <v>1340</v>
      </c>
      <c r="I37" s="12">
        <v>2410</v>
      </c>
      <c r="J37" s="17">
        <v>5</v>
      </c>
      <c r="K37" s="12">
        <v>10.029999999999999</v>
      </c>
      <c r="L37" s="12">
        <v>60</v>
      </c>
      <c r="M37">
        <v>90</v>
      </c>
      <c r="N37" s="12" t="s">
        <v>108</v>
      </c>
      <c r="O37" s="11">
        <v>100000</v>
      </c>
      <c r="P37">
        <v>5</v>
      </c>
      <c r="Q37">
        <v>20</v>
      </c>
      <c r="R37">
        <v>1</v>
      </c>
      <c r="S37" s="12">
        <v>15</v>
      </c>
      <c r="T37" s="12" t="s">
        <v>132</v>
      </c>
      <c r="U37" s="12">
        <v>2019</v>
      </c>
    </row>
    <row r="38" spans="2:22" x14ac:dyDescent="0.35">
      <c r="B38" s="12" t="s">
        <v>93</v>
      </c>
      <c r="C38" s="12" t="s">
        <v>66</v>
      </c>
      <c r="D38" s="12" t="s">
        <v>13</v>
      </c>
      <c r="E38" s="12" t="s">
        <v>129</v>
      </c>
      <c r="F38" s="12" t="str">
        <f>IF(Table2[[#This Row],[Capacity (net MWe)]]&lt;=50,"Micro",IF(Table2[[#This Row],[Capacity (net MWe)]]&lt;=500,"SMR","Large"))</f>
        <v>Large</v>
      </c>
      <c r="G38" s="12"/>
      <c r="H38" s="12">
        <v>1000</v>
      </c>
      <c r="I38" s="12">
        <v>3154</v>
      </c>
      <c r="J38" s="17">
        <v>5</v>
      </c>
      <c r="K38" s="12">
        <v>9</v>
      </c>
      <c r="L38" s="12">
        <v>60</v>
      </c>
      <c r="M38">
        <v>90</v>
      </c>
      <c r="N38" s="12" t="s">
        <v>108</v>
      </c>
      <c r="O38" s="11">
        <v>100000</v>
      </c>
      <c r="P38">
        <v>5</v>
      </c>
      <c r="Q38">
        <v>20</v>
      </c>
      <c r="R38">
        <v>1</v>
      </c>
      <c r="S38" s="12">
        <v>15</v>
      </c>
      <c r="T38" s="12" t="s">
        <v>132</v>
      </c>
      <c r="U38" s="12">
        <v>2018</v>
      </c>
      <c r="V38" s="6" t="s">
        <v>138</v>
      </c>
    </row>
    <row r="39" spans="2:22" x14ac:dyDescent="0.35">
      <c r="B39" s="12" t="s">
        <v>93</v>
      </c>
      <c r="C39" s="12" t="s">
        <v>67</v>
      </c>
      <c r="D39" s="12" t="s">
        <v>13</v>
      </c>
      <c r="E39" s="12" t="s">
        <v>129</v>
      </c>
      <c r="F39" s="12" t="str">
        <f>IF(Table2[[#This Row],[Capacity (net MWe)]]&lt;=50,"Micro",IF(Table2[[#This Row],[Capacity (net MWe)]]&lt;=500,"SMR","Large"))</f>
        <v>Large</v>
      </c>
      <c r="G39" s="12"/>
      <c r="H39" s="12">
        <v>1000</v>
      </c>
      <c r="I39" s="12">
        <v>3154</v>
      </c>
      <c r="J39" s="17">
        <v>5</v>
      </c>
      <c r="K39" s="12">
        <v>9</v>
      </c>
      <c r="L39" s="12">
        <v>60</v>
      </c>
      <c r="M39">
        <v>90</v>
      </c>
      <c r="N39" s="12" t="s">
        <v>108</v>
      </c>
      <c r="O39" s="11">
        <v>100000</v>
      </c>
      <c r="P39">
        <v>5</v>
      </c>
      <c r="Q39">
        <v>20</v>
      </c>
      <c r="R39">
        <v>1</v>
      </c>
      <c r="S39" s="12">
        <v>15</v>
      </c>
      <c r="T39" s="12" t="s">
        <v>132</v>
      </c>
      <c r="U39" s="12">
        <v>2018</v>
      </c>
      <c r="V39" s="6" t="s">
        <v>139</v>
      </c>
    </row>
    <row r="40" spans="2:22" x14ac:dyDescent="0.35">
      <c r="B40" s="12" t="s">
        <v>93</v>
      </c>
      <c r="C40" s="12" t="s">
        <v>68</v>
      </c>
      <c r="D40" s="12" t="s">
        <v>13</v>
      </c>
      <c r="E40" s="12" t="s">
        <v>129</v>
      </c>
      <c r="F40" s="12" t="str">
        <f>IF(Table2[[#This Row],[Capacity (net MWe)]]&lt;=50,"Micro",IF(Table2[[#This Row],[Capacity (net MWe)]]&lt;=500,"SMR","Large"))</f>
        <v>Large</v>
      </c>
      <c r="G40" s="12"/>
      <c r="H40" s="12">
        <v>1660</v>
      </c>
      <c r="I40" s="12">
        <v>3222</v>
      </c>
      <c r="J40" s="17">
        <v>4.5</v>
      </c>
      <c r="K40" s="12">
        <v>9.1</v>
      </c>
      <c r="L40" s="12">
        <v>60</v>
      </c>
      <c r="M40">
        <v>90</v>
      </c>
      <c r="N40" s="12" t="s">
        <v>108</v>
      </c>
      <c r="O40" s="11">
        <v>100000</v>
      </c>
      <c r="P40">
        <v>5</v>
      </c>
      <c r="Q40">
        <v>20</v>
      </c>
      <c r="R40">
        <v>1</v>
      </c>
      <c r="S40" s="12">
        <v>15</v>
      </c>
      <c r="T40" s="12" t="s">
        <v>132</v>
      </c>
      <c r="U40" s="12">
        <v>2018</v>
      </c>
    </row>
    <row r="41" spans="2:22" x14ac:dyDescent="0.35">
      <c r="B41" s="12" t="s">
        <v>93</v>
      </c>
      <c r="C41" s="12" t="s">
        <v>69</v>
      </c>
      <c r="D41" s="12" t="s">
        <v>13</v>
      </c>
      <c r="E41" s="12" t="s">
        <v>129</v>
      </c>
      <c r="F41" s="12" t="str">
        <f>IF(Table2[[#This Row],[Capacity (net MWe)]]&lt;=50,"Micro",IF(Table2[[#This Row],[Capacity (net MWe)]]&lt;=500,"SMR","Large"))</f>
        <v>Large</v>
      </c>
      <c r="G41" s="12"/>
      <c r="H41" s="12">
        <v>1660</v>
      </c>
      <c r="I41" s="12">
        <v>3222</v>
      </c>
      <c r="J41" s="17">
        <v>4.5</v>
      </c>
      <c r="K41" s="12">
        <v>9.4</v>
      </c>
      <c r="L41" s="12">
        <v>60</v>
      </c>
      <c r="M41">
        <v>90</v>
      </c>
      <c r="N41" s="12" t="s">
        <v>108</v>
      </c>
      <c r="O41" s="11">
        <v>100000</v>
      </c>
      <c r="P41">
        <v>5</v>
      </c>
      <c r="Q41">
        <v>20</v>
      </c>
      <c r="R41">
        <v>1</v>
      </c>
      <c r="S41" s="12">
        <v>15</v>
      </c>
      <c r="T41" s="12" t="s">
        <v>132</v>
      </c>
      <c r="U41" s="12">
        <v>2019</v>
      </c>
    </row>
    <row r="42" spans="2:22" x14ac:dyDescent="0.35">
      <c r="B42" s="12" t="s">
        <v>92</v>
      </c>
      <c r="C42" s="12" t="s">
        <v>71</v>
      </c>
      <c r="D42" s="12" t="s">
        <v>13</v>
      </c>
      <c r="E42" s="12" t="s">
        <v>133</v>
      </c>
      <c r="F42" s="12" t="str">
        <f>IF(Table2[[#This Row],[Capacity (net MWe)]]&lt;=50,"Micro",IF(Table2[[#This Row],[Capacity (net MWe)]]&lt;=500,"SMR","Large"))</f>
        <v>Large</v>
      </c>
      <c r="G42" s="12"/>
      <c r="H42" s="12">
        <v>1144</v>
      </c>
      <c r="I42" s="12">
        <v>2244</v>
      </c>
      <c r="J42" s="17">
        <v>6</v>
      </c>
      <c r="K42" s="12">
        <v>8.68</v>
      </c>
      <c r="L42" s="12">
        <v>60</v>
      </c>
      <c r="M42">
        <v>90</v>
      </c>
      <c r="N42" s="12" t="s">
        <v>108</v>
      </c>
      <c r="O42" s="11">
        <v>100000</v>
      </c>
      <c r="P42">
        <v>5</v>
      </c>
      <c r="Q42">
        <v>20</v>
      </c>
      <c r="R42">
        <v>1</v>
      </c>
      <c r="S42" s="12">
        <v>15</v>
      </c>
      <c r="T42" s="12" t="s">
        <v>132</v>
      </c>
      <c r="U42" s="12">
        <v>2016</v>
      </c>
    </row>
    <row r="43" spans="2:22" x14ac:dyDescent="0.35">
      <c r="B43" s="12" t="s">
        <v>92</v>
      </c>
      <c r="C43" s="12" t="s">
        <v>73</v>
      </c>
      <c r="D43" s="12" t="s">
        <v>13</v>
      </c>
      <c r="E43" s="12" t="s">
        <v>133</v>
      </c>
      <c r="F43" s="12" t="str">
        <f>IF(Table2[[#This Row],[Capacity (net MWe)]]&lt;=50,"Micro",IF(Table2[[#This Row],[Capacity (net MWe)]]&lt;=500,"SMR","Large"))</f>
        <v>Large</v>
      </c>
      <c r="G43" s="12"/>
      <c r="H43" s="12">
        <v>1144</v>
      </c>
      <c r="I43" s="12">
        <v>2244</v>
      </c>
      <c r="J43" s="17">
        <v>7</v>
      </c>
      <c r="K43" s="12">
        <v>10.31</v>
      </c>
      <c r="L43" s="12">
        <v>60</v>
      </c>
      <c r="M43">
        <v>90</v>
      </c>
      <c r="N43" s="12" t="s">
        <v>108</v>
      </c>
      <c r="O43" s="11">
        <v>100000</v>
      </c>
      <c r="P43">
        <v>5</v>
      </c>
      <c r="Q43">
        <v>20</v>
      </c>
      <c r="R43">
        <v>1</v>
      </c>
      <c r="S43" s="12">
        <v>15</v>
      </c>
      <c r="T43" s="12" t="s">
        <v>132</v>
      </c>
      <c r="U43" s="12">
        <v>2019</v>
      </c>
    </row>
    <row r="44" spans="2:22" x14ac:dyDescent="0.35">
      <c r="B44" s="12" t="s">
        <v>45</v>
      </c>
      <c r="C44" s="12" t="s">
        <v>157</v>
      </c>
      <c r="D44" s="12" t="s">
        <v>35</v>
      </c>
      <c r="E44" s="12" t="s">
        <v>129</v>
      </c>
      <c r="F44" s="12" t="str">
        <f>IF(Table2[[#This Row],[Capacity (net MWe)]]&lt;=50,"Micro",IF(Table2[[#This Row],[Capacity (net MWe)]]&lt;=500,"SMR","Large"))</f>
        <v>SMR</v>
      </c>
      <c r="G44" s="12"/>
      <c r="H44" s="12">
        <v>200</v>
      </c>
      <c r="I44" s="12">
        <v>7195</v>
      </c>
      <c r="J44" s="17">
        <v>6</v>
      </c>
      <c r="K44" s="12">
        <v>10.83</v>
      </c>
      <c r="L44" s="12">
        <v>40</v>
      </c>
      <c r="M44">
        <v>90</v>
      </c>
      <c r="N44" s="12" t="s">
        <v>108</v>
      </c>
      <c r="O44" s="11">
        <v>100000</v>
      </c>
      <c r="P44">
        <v>5</v>
      </c>
      <c r="Q44">
        <v>20</v>
      </c>
      <c r="R44">
        <v>1</v>
      </c>
      <c r="S44" s="12">
        <v>15</v>
      </c>
      <c r="T44" s="12" t="s">
        <v>132</v>
      </c>
      <c r="U44" s="12">
        <v>1976</v>
      </c>
    </row>
    <row r="45" spans="2:22" x14ac:dyDescent="0.35">
      <c r="B45" s="12" t="s">
        <v>45</v>
      </c>
      <c r="C45" s="12" t="s">
        <v>74</v>
      </c>
      <c r="D45" s="12" t="s">
        <v>35</v>
      </c>
      <c r="E45" s="12" t="s">
        <v>129</v>
      </c>
      <c r="F45" s="12" t="str">
        <f>IF(Table2[[#This Row],[Capacity (net MWe)]]&lt;=50,"Micro",IF(Table2[[#This Row],[Capacity (net MWe)]]&lt;=500,"SMR","Large"))</f>
        <v>SMR</v>
      </c>
      <c r="G45" s="12"/>
      <c r="H45" s="12">
        <v>200</v>
      </c>
      <c r="I45" s="12">
        <v>8108</v>
      </c>
      <c r="J45" s="17">
        <v>6</v>
      </c>
      <c r="K45" s="12">
        <v>10.83</v>
      </c>
      <c r="L45" s="12">
        <v>40</v>
      </c>
      <c r="M45">
        <v>90</v>
      </c>
      <c r="N45" s="12" t="s">
        <v>108</v>
      </c>
      <c r="O45" s="11">
        <v>100000</v>
      </c>
      <c r="P45">
        <v>5</v>
      </c>
      <c r="Q45">
        <v>20</v>
      </c>
      <c r="R45">
        <v>1</v>
      </c>
      <c r="S45" s="12">
        <v>15</v>
      </c>
      <c r="T45" s="12" t="s">
        <v>132</v>
      </c>
      <c r="U45" s="12">
        <v>1976</v>
      </c>
    </row>
    <row r="46" spans="2:22" x14ac:dyDescent="0.35">
      <c r="B46" s="12" t="s">
        <v>45</v>
      </c>
      <c r="C46" s="12" t="s">
        <v>75</v>
      </c>
      <c r="D46" s="12" t="s">
        <v>35</v>
      </c>
      <c r="E46" s="12" t="s">
        <v>129</v>
      </c>
      <c r="F46" s="12" t="str">
        <f>IF(Table2[[#This Row],[Capacity (net MWe)]]&lt;=50,"Micro",IF(Table2[[#This Row],[Capacity (net MWe)]]&lt;=500,"SMR","Large"))</f>
        <v>Micro</v>
      </c>
      <c r="G46" s="12"/>
      <c r="H46" s="12">
        <v>46</v>
      </c>
      <c r="I46" s="12">
        <v>1197</v>
      </c>
      <c r="J46" s="17">
        <v>6</v>
      </c>
      <c r="K46" s="12">
        <v>5.33</v>
      </c>
      <c r="L46" s="12">
        <v>40</v>
      </c>
      <c r="M46">
        <v>90</v>
      </c>
      <c r="N46" s="12" t="s">
        <v>108</v>
      </c>
      <c r="O46" s="11">
        <v>100000</v>
      </c>
      <c r="P46">
        <v>5</v>
      </c>
      <c r="Q46">
        <v>20</v>
      </c>
      <c r="R46">
        <v>1</v>
      </c>
      <c r="S46" s="12">
        <v>15</v>
      </c>
      <c r="T46" s="12" t="s">
        <v>132</v>
      </c>
      <c r="U46" s="12">
        <v>1967</v>
      </c>
    </row>
    <row r="47" spans="2:22" x14ac:dyDescent="0.35">
      <c r="B47" s="12" t="s">
        <v>92</v>
      </c>
      <c r="C47" s="12" t="s">
        <v>170</v>
      </c>
      <c r="D47" s="12" t="s">
        <v>37</v>
      </c>
      <c r="E47" s="12" t="s">
        <v>133</v>
      </c>
      <c r="F47" s="12" t="str">
        <f>IF(Table2[[#This Row],[Capacity (net MWe)]]&lt;=50,"Micro",IF(Table2[[#This Row],[Capacity (net MWe)]]&lt;=500,"SMR","Large"))</f>
        <v>Large</v>
      </c>
      <c r="G47" s="12">
        <v>820</v>
      </c>
      <c r="H47" s="12">
        <v>885</v>
      </c>
      <c r="I47" s="12">
        <v>2501</v>
      </c>
      <c r="J47" s="18">
        <v>8</v>
      </c>
      <c r="K47" s="12">
        <v>8</v>
      </c>
      <c r="L47" s="12">
        <v>60</v>
      </c>
      <c r="M47">
        <v>90</v>
      </c>
      <c r="N47" s="12" t="s">
        <v>108</v>
      </c>
      <c r="O47" s="11">
        <v>100000</v>
      </c>
      <c r="P47">
        <v>5</v>
      </c>
      <c r="Q47">
        <v>20</v>
      </c>
      <c r="R47">
        <v>1</v>
      </c>
      <c r="S47" s="12">
        <v>15</v>
      </c>
      <c r="T47" s="12" t="s">
        <v>132</v>
      </c>
      <c r="U47" s="12">
        <v>2015</v>
      </c>
    </row>
    <row r="48" spans="2:22" x14ac:dyDescent="0.35">
      <c r="B48" s="12" t="s">
        <v>164</v>
      </c>
      <c r="C48" s="12" t="s">
        <v>144</v>
      </c>
      <c r="D48" s="12" t="s">
        <v>37</v>
      </c>
      <c r="E48" s="12" t="s">
        <v>129</v>
      </c>
      <c r="F48" s="12" t="str">
        <f>IF(Table2[[#This Row],[Capacity (net MWe)]]&lt;=50,"Micro",IF(Table2[[#This Row],[Capacity (net MWe)]]&lt;=500,"SMR","Large"))</f>
        <v>Large</v>
      </c>
      <c r="G48" s="12"/>
      <c r="H48" s="12">
        <v>1250</v>
      </c>
      <c r="I48" s="12">
        <v>6145</v>
      </c>
      <c r="J48" s="18">
        <v>7</v>
      </c>
      <c r="K48" s="12">
        <v>10</v>
      </c>
      <c r="L48" s="12">
        <v>40</v>
      </c>
      <c r="M48">
        <v>90</v>
      </c>
      <c r="N48" s="12" t="s">
        <v>108</v>
      </c>
      <c r="O48" s="11">
        <v>100000</v>
      </c>
      <c r="P48">
        <v>5</v>
      </c>
      <c r="Q48">
        <v>20</v>
      </c>
      <c r="R48">
        <v>1</v>
      </c>
      <c r="S48" s="12">
        <v>15</v>
      </c>
      <c r="T48" s="12" t="s">
        <v>132</v>
      </c>
      <c r="U48" s="12">
        <v>1986</v>
      </c>
    </row>
    <row r="49" spans="2:11" x14ac:dyDescent="0.35">
      <c r="B49" t="s">
        <v>92</v>
      </c>
      <c r="C49" t="s">
        <v>166</v>
      </c>
      <c r="D49" t="s">
        <v>13</v>
      </c>
      <c r="F49" s="12" t="str">
        <f>IF(Table2[[#This Row],[Capacity (net MWe)]]&lt;=50,"Micro",IF(Table2[[#This Row],[Capacity (net MWe)]]&lt;=500,"SMR","Large"))</f>
        <v>Large</v>
      </c>
      <c r="H49">
        <v>1200</v>
      </c>
      <c r="J49" s="16">
        <v>5</v>
      </c>
      <c r="K49" s="12">
        <v>10</v>
      </c>
    </row>
    <row r="50" spans="2:11" x14ac:dyDescent="0.35">
      <c r="B50" t="s">
        <v>92</v>
      </c>
      <c r="C50" t="s">
        <v>167</v>
      </c>
      <c r="D50" t="s">
        <v>13</v>
      </c>
      <c r="F50" s="12" t="str">
        <f>IF(Table2[[#This Row],[Capacity (net MWe)]]&lt;=50,"Micro",IF(Table2[[#This Row],[Capacity (net MWe)]]&lt;=500,"SMR","Large"))</f>
        <v>Large</v>
      </c>
      <c r="H50">
        <v>1200</v>
      </c>
      <c r="J50" s="16">
        <v>6</v>
      </c>
      <c r="K50" s="12">
        <v>12</v>
      </c>
    </row>
    <row r="51" spans="2:11" x14ac:dyDescent="0.35">
      <c r="B51" t="s">
        <v>159</v>
      </c>
      <c r="C51" t="s">
        <v>168</v>
      </c>
      <c r="D51" t="s">
        <v>13</v>
      </c>
      <c r="F51" s="12" t="str">
        <f>IF(Table2[[#This Row],[Capacity (net MWe)]]&lt;=50,"Micro",IF(Table2[[#This Row],[Capacity (net MWe)]]&lt;=500,"SMR","Large"))</f>
        <v>Large</v>
      </c>
      <c r="H51">
        <v>1400</v>
      </c>
      <c r="J51" s="16">
        <v>5</v>
      </c>
      <c r="K51" s="12">
        <v>10</v>
      </c>
    </row>
    <row r="52" spans="2:11" x14ac:dyDescent="0.35">
      <c r="B52" t="s">
        <v>159</v>
      </c>
      <c r="C52" t="s">
        <v>169</v>
      </c>
      <c r="D52" t="s">
        <v>13</v>
      </c>
      <c r="F52" s="12" t="str">
        <f>IF(Table2[[#This Row],[Capacity (net MWe)]]&lt;=50,"Micro",IF(Table2[[#This Row],[Capacity (net MWe)]]&lt;=500,"SMR","Large"))</f>
        <v>Large</v>
      </c>
      <c r="H52">
        <v>1400</v>
      </c>
      <c r="J52" s="16">
        <v>5</v>
      </c>
      <c r="K52" s="12">
        <v>11</v>
      </c>
    </row>
    <row r="53" spans="2:11" x14ac:dyDescent="0.35">
      <c r="F53" s="12"/>
      <c r="J53" s="16"/>
      <c r="K53" s="12"/>
    </row>
    <row r="54" spans="2:11" x14ac:dyDescent="0.35">
      <c r="F54" s="12"/>
      <c r="J54" s="16"/>
      <c r="K54" s="12"/>
    </row>
    <row r="56" spans="2:11" x14ac:dyDescent="0.35">
      <c r="D56" t="str" cm="1">
        <f t="array" ref="D56:D64">_xlfn.UNIQUE(D4:D52)</f>
        <v>BWR</v>
      </c>
    </row>
    <row r="57" spans="2:11" x14ac:dyDescent="0.35">
      <c r="D57" t="str">
        <v>PWR</v>
      </c>
    </row>
    <row r="58" spans="2:11" x14ac:dyDescent="0.35">
      <c r="D58" t="str">
        <v>HTR</v>
      </c>
    </row>
    <row r="59" spans="2:11" x14ac:dyDescent="0.35">
      <c r="D59" t="str">
        <v>HTGR</v>
      </c>
    </row>
    <row r="60" spans="2:11" x14ac:dyDescent="0.35">
      <c r="D60" t="str">
        <v>SFR</v>
      </c>
    </row>
    <row r="61" spans="2:11" x14ac:dyDescent="0.35">
      <c r="D61" t="str">
        <v>MSR</v>
      </c>
    </row>
    <row r="62" spans="2:11" x14ac:dyDescent="0.35">
      <c r="D62" t="str">
        <v>MSFR</v>
      </c>
    </row>
    <row r="63" spans="2:11" x14ac:dyDescent="0.35">
      <c r="D63" t="str">
        <v>MR</v>
      </c>
    </row>
    <row r="64" spans="2:11" x14ac:dyDescent="0.35">
      <c r="D64" t="str">
        <v>LFR</v>
      </c>
    </row>
    <row r="71" spans="2:9" x14ac:dyDescent="0.35">
      <c r="I71" t="s">
        <v>79</v>
      </c>
    </row>
    <row r="72" spans="2:9" x14ac:dyDescent="0.35">
      <c r="I72" s="6" t="s">
        <v>80</v>
      </c>
    </row>
    <row r="73" spans="2:9" x14ac:dyDescent="0.35">
      <c r="D73" s="1" t="s">
        <v>42</v>
      </c>
      <c r="E73" s="2" t="s">
        <v>82</v>
      </c>
      <c r="I73" t="s">
        <v>81</v>
      </c>
    </row>
    <row r="74" spans="2:9" x14ac:dyDescent="0.3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128</v>
      </c>
      <c r="I74" t="s">
        <v>95</v>
      </c>
    </row>
    <row r="75" spans="2:9" x14ac:dyDescent="0.3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9" x14ac:dyDescent="0.3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</row>
    <row r="77" spans="2:9" x14ac:dyDescent="0.3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</row>
    <row r="78" spans="2:9" x14ac:dyDescent="0.3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</row>
    <row r="79" spans="2:9" x14ac:dyDescent="0.35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</row>
    <row r="80" spans="2:9" x14ac:dyDescent="0.3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</row>
    <row r="81" spans="2:8" x14ac:dyDescent="0.3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</row>
    <row r="82" spans="2:8" x14ac:dyDescent="0.3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</row>
    <row r="83" spans="2:8" x14ac:dyDescent="0.3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</row>
    <row r="84" spans="2:8" x14ac:dyDescent="0.3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</row>
    <row r="85" spans="2:8" x14ac:dyDescent="0.3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</row>
    <row r="86" spans="2:8" x14ac:dyDescent="0.3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</row>
    <row r="87" spans="2:8" x14ac:dyDescent="0.3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</row>
    <row r="88" spans="2:8" x14ac:dyDescent="0.3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</row>
    <row r="89" spans="2:8" x14ac:dyDescent="0.3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</row>
    <row r="90" spans="2:8" x14ac:dyDescent="0.3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</row>
    <row r="91" spans="2:8" x14ac:dyDescent="0.3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</row>
    <row r="92" spans="2:8" x14ac:dyDescent="0.3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</row>
    <row r="93" spans="2:8" x14ac:dyDescent="0.3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</row>
    <row r="96" spans="2:8" x14ac:dyDescent="0.35">
      <c r="D96" t="s">
        <v>30</v>
      </c>
      <c r="G96" s="3"/>
    </row>
    <row r="98" spans="3:9" x14ac:dyDescent="0.3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3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3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3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3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3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3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3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3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3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3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3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3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3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3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3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3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3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3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3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3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3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3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3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3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3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3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35">
      <c r="G141" t="s">
        <v>148</v>
      </c>
    </row>
    <row r="142" spans="6:7" x14ac:dyDescent="0.35">
      <c r="F142">
        <v>2250</v>
      </c>
      <c r="G142">
        <f>F142*1000</f>
        <v>2250000</v>
      </c>
    </row>
    <row r="143" spans="6:7" x14ac:dyDescent="0.35">
      <c r="F143">
        <v>5215.9369999999999</v>
      </c>
      <c r="G143">
        <f t="shared" ref="G143:G159" si="0">F143*1000</f>
        <v>5215937</v>
      </c>
    </row>
    <row r="144" spans="6:7" x14ac:dyDescent="0.35">
      <c r="F144">
        <v>6312.5</v>
      </c>
      <c r="G144">
        <f t="shared" si="0"/>
        <v>6312500</v>
      </c>
    </row>
    <row r="145" spans="6:14" x14ac:dyDescent="0.35">
      <c r="F145">
        <v>8000</v>
      </c>
      <c r="G145">
        <f t="shared" si="0"/>
        <v>8000000</v>
      </c>
    </row>
    <row r="146" spans="6:14" x14ac:dyDescent="0.35">
      <c r="F146">
        <v>3600</v>
      </c>
      <c r="G146">
        <f t="shared" si="0"/>
        <v>3600000</v>
      </c>
    </row>
    <row r="147" spans="6:14" x14ac:dyDescent="0.35">
      <c r="F147">
        <v>4212</v>
      </c>
      <c r="G147">
        <f t="shared" si="0"/>
        <v>4212000</v>
      </c>
    </row>
    <row r="148" spans="6:14" x14ac:dyDescent="0.35">
      <c r="F148">
        <v>8532</v>
      </c>
      <c r="G148">
        <f t="shared" si="0"/>
        <v>8532000</v>
      </c>
    </row>
    <row r="149" spans="6:14" x14ac:dyDescent="0.35">
      <c r="F149">
        <v>13531.429</v>
      </c>
      <c r="G149">
        <f t="shared" si="0"/>
        <v>13531429</v>
      </c>
    </row>
    <row r="150" spans="6:14" x14ac:dyDescent="0.35">
      <c r="F150">
        <v>23187.5</v>
      </c>
      <c r="G150">
        <f t="shared" si="0"/>
        <v>23187500</v>
      </c>
    </row>
    <row r="151" spans="6:14" x14ac:dyDescent="0.35">
      <c r="F151">
        <v>4373.3</v>
      </c>
      <c r="G151">
        <f t="shared" si="0"/>
        <v>4373300</v>
      </c>
    </row>
    <row r="152" spans="6:14" x14ac:dyDescent="0.35">
      <c r="F152">
        <v>3270</v>
      </c>
      <c r="G152">
        <f t="shared" si="0"/>
        <v>3270000</v>
      </c>
      <c r="J152" s="19" t="s">
        <v>171</v>
      </c>
      <c r="K152" s="19" t="s">
        <v>172</v>
      </c>
      <c r="L152" s="19" t="s">
        <v>173</v>
      </c>
      <c r="M152" s="19" t="s">
        <v>174</v>
      </c>
      <c r="N152" s="19" t="s">
        <v>175</v>
      </c>
    </row>
    <row r="153" spans="6:14" ht="43.5" x14ac:dyDescent="0.35">
      <c r="F153">
        <v>5050</v>
      </c>
      <c r="G153">
        <f t="shared" si="0"/>
        <v>5050000</v>
      </c>
      <c r="J153" s="20" t="s">
        <v>176</v>
      </c>
      <c r="K153" s="12" t="s">
        <v>177</v>
      </c>
      <c r="L153" s="12">
        <v>22</v>
      </c>
      <c r="M153" s="21">
        <f>L153/44</f>
        <v>0.5</v>
      </c>
      <c r="N153" s="12" t="s">
        <v>178</v>
      </c>
    </row>
    <row r="154" spans="6:14" ht="58" x14ac:dyDescent="0.35">
      <c r="F154">
        <v>19350</v>
      </c>
      <c r="G154">
        <f t="shared" si="0"/>
        <v>19350000</v>
      </c>
      <c r="J154" s="12"/>
      <c r="K154" s="12" t="s">
        <v>179</v>
      </c>
      <c r="L154" s="12">
        <v>17</v>
      </c>
      <c r="M154" s="21">
        <f t="shared" ref="M154:M163" si="1">L154/44</f>
        <v>0.38636363636363635</v>
      </c>
      <c r="N154" s="12" t="s">
        <v>180</v>
      </c>
    </row>
    <row r="155" spans="6:14" ht="58" x14ac:dyDescent="0.35">
      <c r="F155">
        <v>6900</v>
      </c>
      <c r="G155">
        <f t="shared" si="0"/>
        <v>6900000</v>
      </c>
      <c r="J155" s="12"/>
      <c r="K155" s="12" t="s">
        <v>181</v>
      </c>
      <c r="L155" s="12">
        <v>5</v>
      </c>
      <c r="M155" s="21">
        <f t="shared" si="1"/>
        <v>0.11363636363636363</v>
      </c>
      <c r="N155" s="12" t="s">
        <v>182</v>
      </c>
    </row>
    <row r="156" spans="6:14" ht="43.5" x14ac:dyDescent="0.35">
      <c r="F156">
        <v>4054.2660000000001</v>
      </c>
      <c r="G156">
        <f t="shared" si="0"/>
        <v>4054266</v>
      </c>
      <c r="J156" s="20" t="s">
        <v>183</v>
      </c>
      <c r="K156" s="12" t="s">
        <v>184</v>
      </c>
      <c r="L156" s="12">
        <v>27</v>
      </c>
      <c r="M156" s="21">
        <f t="shared" si="1"/>
        <v>0.61363636363636365</v>
      </c>
      <c r="N156" s="12" t="s">
        <v>185</v>
      </c>
    </row>
    <row r="157" spans="6:14" ht="29" x14ac:dyDescent="0.35">
      <c r="F157">
        <v>1950</v>
      </c>
      <c r="G157">
        <f t="shared" si="0"/>
        <v>1950000</v>
      </c>
      <c r="J157" s="12"/>
      <c r="K157" s="12" t="s">
        <v>186</v>
      </c>
      <c r="L157" s="12">
        <v>5</v>
      </c>
      <c r="M157" s="21">
        <f t="shared" si="1"/>
        <v>0.11363636363636363</v>
      </c>
      <c r="N157" s="12" t="s">
        <v>187</v>
      </c>
    </row>
    <row r="158" spans="6:14" ht="29" x14ac:dyDescent="0.35">
      <c r="F158">
        <v>5771.4290000000001</v>
      </c>
      <c r="G158">
        <f t="shared" si="0"/>
        <v>5771429</v>
      </c>
      <c r="J158" s="12"/>
      <c r="K158" s="12" t="s">
        <v>188</v>
      </c>
      <c r="L158" s="12">
        <v>4</v>
      </c>
      <c r="M158" s="21">
        <f t="shared" si="1"/>
        <v>9.0909090909090912E-2</v>
      </c>
      <c r="N158" s="12" t="s">
        <v>189</v>
      </c>
    </row>
    <row r="159" spans="6:14" ht="29" x14ac:dyDescent="0.35">
      <c r="F159">
        <v>4160</v>
      </c>
      <c r="G159">
        <f t="shared" si="0"/>
        <v>4160000</v>
      </c>
      <c r="J159" s="12"/>
      <c r="K159" s="12" t="s">
        <v>190</v>
      </c>
      <c r="L159" s="12">
        <v>2</v>
      </c>
      <c r="M159" s="21">
        <f t="shared" si="1"/>
        <v>4.5454545454545456E-2</v>
      </c>
      <c r="N159" s="12" t="s">
        <v>191</v>
      </c>
    </row>
    <row r="160" spans="6:14" ht="29" x14ac:dyDescent="0.35">
      <c r="J160" s="12"/>
      <c r="K160" s="12" t="s">
        <v>192</v>
      </c>
      <c r="L160" s="12">
        <v>1</v>
      </c>
      <c r="M160" s="21">
        <f t="shared" si="1"/>
        <v>2.2727272727272728E-2</v>
      </c>
      <c r="N160" s="12" t="s">
        <v>193</v>
      </c>
    </row>
    <row r="161" spans="10:14" ht="29" x14ac:dyDescent="0.35">
      <c r="J161" s="12"/>
      <c r="K161" s="12" t="s">
        <v>194</v>
      </c>
      <c r="L161" s="12">
        <v>1</v>
      </c>
      <c r="M161" s="21">
        <f t="shared" si="1"/>
        <v>2.2727272727272728E-2</v>
      </c>
      <c r="N161" s="12" t="s">
        <v>195</v>
      </c>
    </row>
    <row r="162" spans="10:14" ht="43.5" x14ac:dyDescent="0.35">
      <c r="J162" s="20" t="s">
        <v>196</v>
      </c>
      <c r="K162" s="12" t="s">
        <v>197</v>
      </c>
      <c r="L162" s="12">
        <v>25</v>
      </c>
      <c r="M162" s="21">
        <f t="shared" si="1"/>
        <v>0.56818181818181823</v>
      </c>
      <c r="N162" s="12" t="s">
        <v>198</v>
      </c>
    </row>
    <row r="163" spans="10:14" ht="43.5" x14ac:dyDescent="0.35">
      <c r="J163" s="12"/>
      <c r="K163" s="12" t="s">
        <v>199</v>
      </c>
      <c r="L163" s="12">
        <v>19</v>
      </c>
      <c r="M163" s="21">
        <f t="shared" si="1"/>
        <v>0.43181818181818182</v>
      </c>
      <c r="N163" s="12" t="s">
        <v>200</v>
      </c>
    </row>
  </sheetData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4.5" x14ac:dyDescent="0.35"/>
  <cols>
    <col min="2" max="2" width="34.453125" bestFit="1" customWidth="1"/>
    <col min="3" max="4" width="12.54296875" customWidth="1"/>
  </cols>
  <sheetData>
    <row r="2" spans="2:5" x14ac:dyDescent="0.35">
      <c r="B2" t="s">
        <v>2</v>
      </c>
      <c r="C2" t="s">
        <v>3</v>
      </c>
    </row>
    <row r="5" spans="2:5" x14ac:dyDescent="0.35">
      <c r="B5" t="s">
        <v>111</v>
      </c>
      <c r="C5" t="s">
        <v>112</v>
      </c>
      <c r="D5" t="s">
        <v>113</v>
      </c>
    </row>
    <row r="6" spans="2:5" x14ac:dyDescent="0.35">
      <c r="B6" t="s">
        <v>114</v>
      </c>
      <c r="C6" t="s">
        <v>121</v>
      </c>
      <c r="D6" t="s">
        <v>122</v>
      </c>
    </row>
    <row r="7" spans="2:5" x14ac:dyDescent="0.35">
      <c r="B7" t="s">
        <v>115</v>
      </c>
      <c r="C7" t="s">
        <v>118</v>
      </c>
      <c r="D7" t="s">
        <v>119</v>
      </c>
      <c r="E7" t="s">
        <v>123</v>
      </c>
    </row>
    <row r="8" spans="2:5" x14ac:dyDescent="0.35">
      <c r="B8" t="s">
        <v>116</v>
      </c>
      <c r="C8" t="s">
        <v>126</v>
      </c>
      <c r="D8" t="s">
        <v>120</v>
      </c>
      <c r="E8" t="s">
        <v>124</v>
      </c>
    </row>
    <row r="9" spans="2:5" x14ac:dyDescent="0.35">
      <c r="B9" t="s">
        <v>117</v>
      </c>
      <c r="C9" t="s">
        <v>125</v>
      </c>
      <c r="D9" t="s">
        <v>120</v>
      </c>
    </row>
    <row r="10" spans="2:5" x14ac:dyDescent="0.35">
      <c r="B10" t="s">
        <v>127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4.5" x14ac:dyDescent="0.35"/>
  <cols>
    <col min="1" max="1" width="2.54296875" bestFit="1" customWidth="1"/>
    <col min="3" max="3" width="14.26953125" bestFit="1" customWidth="1"/>
    <col min="4" max="4" width="5.81640625" bestFit="1" customWidth="1"/>
  </cols>
  <sheetData>
    <row r="2" spans="1:4" x14ac:dyDescent="0.35">
      <c r="A2" t="s">
        <v>140</v>
      </c>
      <c r="B2" t="s">
        <v>141</v>
      </c>
      <c r="C2" t="s">
        <v>142</v>
      </c>
      <c r="D2" t="s">
        <v>143</v>
      </c>
    </row>
    <row r="3" spans="1:4" x14ac:dyDescent="0.35">
      <c r="A3">
        <v>1</v>
      </c>
      <c r="B3">
        <f ca="1">RAND()*(0.15-0.04)+0.04</f>
        <v>0.14781379942445699</v>
      </c>
      <c r="C3">
        <f ca="1">IF(RAND()&lt;(0.9-0.75)/(0.95-0.75),0.75+SQRT(RAND()*(0.9-0.75)*(0.95-0.75)),0.95-SQRT((1-RAND())*(0.95-0.9)*(0.95-0.75)))</f>
        <v>0.90973758868530497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Props1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2025-11-08T13:12:52Z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